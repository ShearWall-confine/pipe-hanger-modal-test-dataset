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ongji\research group\Programs\电厂\Test\Modal_Test\dataprocess_2\processed\"/>
    </mc:Choice>
  </mc:AlternateContent>
  <xr:revisionPtr revIDLastSave="0" documentId="13_ncr:1_{EDBCC714-B65A-40B2-8F3A-71FAF3FA92B6}" xr6:coauthVersionLast="47" xr6:coauthVersionMax="47" xr10:uidLastSave="{00000000-0000-0000-0000-000000000000}"/>
  <bookViews>
    <workbookView xWindow="42435" yWindow="11235" windowWidth="29925" windowHeight="18885" activeTab="3" xr2:uid="{00000000-000D-0000-FFFF-FFFF00000000}"/>
  </bookViews>
  <sheets>
    <sheet name="CA" sheetId="1" r:id="rId1"/>
    <sheet name="TB" sheetId="3" r:id="rId2"/>
    <sheet name="CSBD" sheetId="4" r:id="rId3"/>
    <sheet name="CSB" sheetId="6" r:id="rId4"/>
    <sheet name="help" sheetId="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2" i="4" l="1"/>
  <c r="K4" i="1"/>
  <c r="S2" i="3"/>
  <c r="R6" i="4"/>
  <c r="R3" i="4"/>
  <c r="R12" i="4"/>
  <c r="R11" i="4"/>
  <c r="R9" i="4"/>
  <c r="R8" i="4"/>
  <c r="R5" i="4"/>
  <c r="R2" i="4"/>
  <c r="R2" i="6"/>
  <c r="S2" i="4"/>
  <c r="S3" i="3"/>
  <c r="K3" i="3"/>
  <c r="S5" i="4" l="1"/>
  <c r="P2" i="1"/>
  <c r="Q3" i="1"/>
  <c r="S74" i="3"/>
  <c r="S71" i="3"/>
  <c r="S51" i="3"/>
  <c r="S48" i="3"/>
  <c r="S21" i="3"/>
  <c r="S18" i="3"/>
  <c r="S14" i="3"/>
  <c r="S11" i="3"/>
  <c r="Q3" i="3"/>
  <c r="S9" i="6"/>
  <c r="S8" i="6"/>
  <c r="S6" i="6"/>
  <c r="S5" i="6"/>
  <c r="S3" i="6"/>
  <c r="R12" i="6"/>
  <c r="S12" i="6" s="1"/>
  <c r="R11" i="6"/>
  <c r="S11" i="6" s="1"/>
  <c r="R9" i="6"/>
  <c r="R8" i="6"/>
  <c r="R6" i="6"/>
  <c r="R5" i="6"/>
  <c r="R3" i="6"/>
  <c r="R26" i="1"/>
  <c r="S26" i="1" s="1"/>
  <c r="R27" i="1"/>
  <c r="S27" i="1" s="1"/>
  <c r="R29" i="1"/>
  <c r="S29" i="1" s="1"/>
  <c r="R30" i="1"/>
  <c r="S30" i="1" s="1"/>
  <c r="R32" i="1"/>
  <c r="S32" i="1" s="1"/>
  <c r="R33" i="1"/>
  <c r="R35" i="1"/>
  <c r="S35" i="1" s="1"/>
  <c r="R36" i="1"/>
  <c r="S36" i="1" s="1"/>
  <c r="R38" i="1"/>
  <c r="R39" i="1"/>
  <c r="S39" i="1" s="1"/>
  <c r="R41" i="1"/>
  <c r="S41" i="1" s="1"/>
  <c r="R42" i="1"/>
  <c r="S42" i="1" s="1"/>
  <c r="R44" i="1"/>
  <c r="S44" i="1" s="1"/>
  <c r="R45" i="1"/>
  <c r="S45" i="1" s="1"/>
  <c r="R47" i="1"/>
  <c r="S47" i="1" s="1"/>
  <c r="R48" i="1"/>
  <c r="S48" i="1" s="1"/>
  <c r="R24" i="1"/>
  <c r="S24" i="1" s="1"/>
  <c r="R23" i="1"/>
  <c r="S23" i="1" s="1"/>
  <c r="R21" i="1"/>
  <c r="S21" i="1" s="1"/>
  <c r="R20" i="1"/>
  <c r="S20" i="1" s="1"/>
  <c r="R18" i="1"/>
  <c r="S18" i="1" s="1"/>
  <c r="R17" i="1"/>
  <c r="S17" i="1" s="1"/>
  <c r="R15" i="1"/>
  <c r="S15" i="1" s="1"/>
  <c r="R14" i="1"/>
  <c r="S14" i="1" s="1"/>
  <c r="R12" i="1"/>
  <c r="S12" i="1" s="1"/>
  <c r="R11" i="1"/>
  <c r="S11" i="1" s="1"/>
  <c r="R9" i="1"/>
  <c r="S9" i="1" s="1"/>
  <c r="R8" i="1"/>
  <c r="S8" i="1" s="1"/>
  <c r="R6" i="1"/>
  <c r="S6" i="1" s="1"/>
  <c r="R5" i="1"/>
  <c r="S5" i="1" s="1"/>
  <c r="R3" i="1"/>
  <c r="S3" i="1" s="1"/>
  <c r="R2" i="1"/>
  <c r="S2" i="1" s="1"/>
  <c r="R96" i="3"/>
  <c r="S96" i="3" s="1"/>
  <c r="R95" i="3"/>
  <c r="S95" i="3" s="1"/>
  <c r="R93" i="3"/>
  <c r="S93" i="3" s="1"/>
  <c r="R92" i="3"/>
  <c r="S92" i="3" s="1"/>
  <c r="R90" i="3"/>
  <c r="S90" i="3" s="1"/>
  <c r="R89" i="3"/>
  <c r="S89" i="3" s="1"/>
  <c r="R87" i="3"/>
  <c r="S87" i="3" s="1"/>
  <c r="R86" i="3"/>
  <c r="S86" i="3" s="1"/>
  <c r="R84" i="3"/>
  <c r="S84" i="3" s="1"/>
  <c r="R83" i="3"/>
  <c r="S83" i="3" s="1"/>
  <c r="R81" i="3"/>
  <c r="S81" i="3" s="1"/>
  <c r="R80" i="3"/>
  <c r="S80" i="3" s="1"/>
  <c r="R78" i="3"/>
  <c r="S78" i="3" s="1"/>
  <c r="R77" i="3"/>
  <c r="S77" i="3" s="1"/>
  <c r="R75" i="3"/>
  <c r="S75" i="3" s="1"/>
  <c r="R74" i="3"/>
  <c r="R72" i="3"/>
  <c r="S72" i="3" s="1"/>
  <c r="R71" i="3"/>
  <c r="R69" i="3"/>
  <c r="S69" i="3" s="1"/>
  <c r="R68" i="3"/>
  <c r="S68" i="3" s="1"/>
  <c r="R66" i="3"/>
  <c r="S66" i="3" s="1"/>
  <c r="R65" i="3"/>
  <c r="S65" i="3" s="1"/>
  <c r="R63" i="3"/>
  <c r="S63" i="3" s="1"/>
  <c r="R62" i="3"/>
  <c r="S62" i="3" s="1"/>
  <c r="R60" i="3"/>
  <c r="S60" i="3" s="1"/>
  <c r="R59" i="3"/>
  <c r="S59" i="3" s="1"/>
  <c r="R57" i="3"/>
  <c r="S57" i="3" s="1"/>
  <c r="R56" i="3"/>
  <c r="S56" i="3" s="1"/>
  <c r="R54" i="3"/>
  <c r="S54" i="3" s="1"/>
  <c r="R53" i="3"/>
  <c r="S53" i="3" s="1"/>
  <c r="R51" i="3"/>
  <c r="R50" i="3"/>
  <c r="S50" i="3" s="1"/>
  <c r="R48" i="3"/>
  <c r="R47" i="3"/>
  <c r="S47" i="3" s="1"/>
  <c r="R45" i="3"/>
  <c r="S45" i="3" s="1"/>
  <c r="R44" i="3"/>
  <c r="S44" i="3" s="1"/>
  <c r="R42" i="3"/>
  <c r="S42" i="3" s="1"/>
  <c r="R41" i="3"/>
  <c r="S41" i="3" s="1"/>
  <c r="R39" i="3"/>
  <c r="S39" i="3" s="1"/>
  <c r="R38" i="3"/>
  <c r="S38" i="3" s="1"/>
  <c r="R36" i="3"/>
  <c r="S36" i="3" s="1"/>
  <c r="R35" i="3"/>
  <c r="S35" i="3" s="1"/>
  <c r="R33" i="3"/>
  <c r="S33" i="3" s="1"/>
  <c r="R32" i="3"/>
  <c r="S32" i="3" s="1"/>
  <c r="R30" i="3"/>
  <c r="S30" i="3" s="1"/>
  <c r="R29" i="3"/>
  <c r="S29" i="3" s="1"/>
  <c r="R27" i="3"/>
  <c r="S27" i="3" s="1"/>
  <c r="R26" i="3"/>
  <c r="S26" i="3" s="1"/>
  <c r="R24" i="3"/>
  <c r="S24" i="3" s="1"/>
  <c r="R23" i="3"/>
  <c r="S23" i="3" s="1"/>
  <c r="R21" i="3"/>
  <c r="R20" i="3"/>
  <c r="S20" i="3" s="1"/>
  <c r="R18" i="3"/>
  <c r="R17" i="3"/>
  <c r="S17" i="3" s="1"/>
  <c r="R15" i="3"/>
  <c r="S15" i="3" s="1"/>
  <c r="R14" i="3"/>
  <c r="R12" i="3"/>
  <c r="S12" i="3" s="1"/>
  <c r="R11" i="3"/>
  <c r="R9" i="3"/>
  <c r="S9" i="3" s="1"/>
  <c r="R8" i="3"/>
  <c r="S8" i="3" s="1"/>
  <c r="R6" i="3"/>
  <c r="S6" i="3" s="1"/>
  <c r="R5" i="3"/>
  <c r="S5" i="3" s="1"/>
  <c r="R3" i="3"/>
  <c r="R2" i="3"/>
  <c r="Q3" i="4"/>
  <c r="P5" i="6"/>
  <c r="Q3" i="6"/>
  <c r="Q96" i="3"/>
  <c r="P95" i="3"/>
  <c r="Q93" i="3"/>
  <c r="P92" i="3"/>
  <c r="Q90" i="3"/>
  <c r="P89" i="3"/>
  <c r="Q87" i="3"/>
  <c r="P86" i="3"/>
  <c r="Q84" i="3"/>
  <c r="P83" i="3"/>
  <c r="Q81" i="3"/>
  <c r="P80" i="3"/>
  <c r="Q78" i="3"/>
  <c r="P77" i="3"/>
  <c r="Q75" i="3"/>
  <c r="P74" i="3"/>
  <c r="Q72" i="3"/>
  <c r="P71" i="3"/>
  <c r="Q69" i="3"/>
  <c r="P68" i="3"/>
  <c r="Q66" i="3"/>
  <c r="P65" i="3"/>
  <c r="Q63" i="3"/>
  <c r="P62" i="3"/>
  <c r="Q60" i="3"/>
  <c r="P59" i="3"/>
  <c r="Q57" i="3"/>
  <c r="P56" i="3"/>
  <c r="Q54" i="3"/>
  <c r="P53" i="3"/>
  <c r="Q51" i="3"/>
  <c r="P50" i="3"/>
  <c r="Q48" i="3"/>
  <c r="P47" i="3"/>
  <c r="Q45" i="3"/>
  <c r="P44" i="3"/>
  <c r="Q42" i="3"/>
  <c r="P41" i="3"/>
  <c r="Q39" i="3"/>
  <c r="P38" i="3"/>
  <c r="Q36" i="3"/>
  <c r="P35" i="3"/>
  <c r="Q33" i="3"/>
  <c r="P32" i="3"/>
  <c r="Q30" i="3"/>
  <c r="P29" i="3"/>
  <c r="Q27" i="3"/>
  <c r="P26" i="3"/>
  <c r="Q24" i="3"/>
  <c r="P23" i="3"/>
  <c r="Q21" i="3"/>
  <c r="P20" i="3"/>
  <c r="Q18" i="3"/>
  <c r="P17" i="3"/>
  <c r="Q15" i="3"/>
  <c r="P14" i="3"/>
  <c r="Q12" i="3"/>
  <c r="P11" i="3"/>
  <c r="Q9" i="3"/>
  <c r="P8" i="3"/>
  <c r="Q6" i="3"/>
  <c r="P5" i="3"/>
  <c r="P38" i="1"/>
  <c r="N12" i="4"/>
  <c r="Q12" i="4" s="1"/>
  <c r="N11" i="4"/>
  <c r="P11" i="4" s="1"/>
  <c r="N9" i="4"/>
  <c r="Q9" i="4" s="1"/>
  <c r="N8" i="4"/>
  <c r="P8" i="4" s="1"/>
  <c r="N6" i="4"/>
  <c r="Q6" i="4" s="1"/>
  <c r="N5" i="4"/>
  <c r="P5" i="4" s="1"/>
  <c r="N3" i="4"/>
  <c r="N2" i="4"/>
  <c r="N3" i="6"/>
  <c r="N5" i="6"/>
  <c r="N6" i="6"/>
  <c r="N8" i="6"/>
  <c r="P8" i="6" s="1"/>
  <c r="N9" i="6"/>
  <c r="Q9" i="6" s="1"/>
  <c r="N11" i="6"/>
  <c r="P11" i="6" s="1"/>
  <c r="N12" i="6"/>
  <c r="Q12" i="6" s="1"/>
  <c r="N2" i="6"/>
  <c r="S2" i="6" s="1"/>
  <c r="S9" i="4"/>
  <c r="S8" i="4"/>
  <c r="S6" i="4"/>
  <c r="S3" i="4"/>
  <c r="P2" i="4"/>
  <c r="S38" i="1"/>
  <c r="S33" i="1"/>
  <c r="P2" i="3"/>
  <c r="J48" i="1"/>
  <c r="K48" i="1" s="1"/>
  <c r="K49" i="1" s="1"/>
  <c r="L49" i="1" s="1"/>
  <c r="J47" i="1"/>
  <c r="K47" i="1" s="1"/>
  <c r="L47" i="1" s="1"/>
  <c r="J45" i="1"/>
  <c r="J44" i="1"/>
  <c r="K44" i="1" s="1"/>
  <c r="L44" i="1" s="1"/>
  <c r="J42" i="1"/>
  <c r="K42" i="1" s="1"/>
  <c r="K43" i="1" s="1"/>
  <c r="L43" i="1" s="1"/>
  <c r="J41" i="1"/>
  <c r="K41" i="1" s="1"/>
  <c r="L41" i="1" s="1"/>
  <c r="J39" i="1"/>
  <c r="K39" i="1" s="1"/>
  <c r="L39" i="1" s="1"/>
  <c r="J38" i="1"/>
  <c r="K38" i="1" s="1"/>
  <c r="L38" i="1" s="1"/>
  <c r="J36" i="1"/>
  <c r="K36" i="1" s="1"/>
  <c r="L36" i="1" s="1"/>
  <c r="J35" i="1"/>
  <c r="K35" i="1" s="1"/>
  <c r="L35" i="1" s="1"/>
  <c r="J33" i="1"/>
  <c r="K33" i="1" s="1"/>
  <c r="K34" i="1" s="1"/>
  <c r="L34" i="1" s="1"/>
  <c r="J32" i="1"/>
  <c r="K32" i="1" s="1"/>
  <c r="L32" i="1" s="1"/>
  <c r="J30" i="1"/>
  <c r="K30" i="1" s="1"/>
  <c r="L30" i="1" s="1"/>
  <c r="J29" i="1"/>
  <c r="K29" i="1" s="1"/>
  <c r="L29" i="1" s="1"/>
  <c r="J27" i="1"/>
  <c r="J26" i="1"/>
  <c r="K26" i="1" s="1"/>
  <c r="L26" i="1" s="1"/>
  <c r="J24" i="1"/>
  <c r="K24" i="1" s="1"/>
  <c r="L24" i="1" s="1"/>
  <c r="J23" i="1"/>
  <c r="K23" i="1" s="1"/>
  <c r="L23" i="1" s="1"/>
  <c r="J21" i="1"/>
  <c r="K21" i="1" s="1"/>
  <c r="K22" i="1" s="1"/>
  <c r="L22" i="1" s="1"/>
  <c r="J20" i="1"/>
  <c r="K20" i="1" s="1"/>
  <c r="L20" i="1" s="1"/>
  <c r="J18" i="1"/>
  <c r="J17" i="1"/>
  <c r="J15" i="1"/>
  <c r="J14" i="1"/>
  <c r="J12" i="1"/>
  <c r="J11" i="1"/>
  <c r="J9" i="1"/>
  <c r="K9" i="1" s="1"/>
  <c r="K10" i="1" s="1"/>
  <c r="L10" i="1" s="1"/>
  <c r="J8" i="1"/>
  <c r="K8" i="1" s="1"/>
  <c r="L8" i="1" s="1"/>
  <c r="J6" i="1"/>
  <c r="K6" i="1" s="1"/>
  <c r="K7" i="1" s="1"/>
  <c r="L7" i="1" s="1"/>
  <c r="J5" i="1"/>
  <c r="K5" i="1" s="1"/>
  <c r="L5" i="1" s="1"/>
  <c r="J3" i="1"/>
  <c r="K3" i="1" s="1"/>
  <c r="L3" i="1" s="1"/>
  <c r="J2" i="1"/>
  <c r="J96" i="3"/>
  <c r="J95" i="3"/>
  <c r="J93" i="3"/>
  <c r="J92" i="3"/>
  <c r="J90" i="3"/>
  <c r="J89" i="3"/>
  <c r="J87" i="3"/>
  <c r="J86" i="3"/>
  <c r="J84" i="3"/>
  <c r="J83" i="3"/>
  <c r="J81" i="3"/>
  <c r="J80" i="3"/>
  <c r="J78" i="3"/>
  <c r="J77" i="3"/>
  <c r="J75" i="3"/>
  <c r="J74" i="3"/>
  <c r="J72" i="3"/>
  <c r="J71" i="3"/>
  <c r="J69" i="3"/>
  <c r="J68" i="3"/>
  <c r="J66" i="3"/>
  <c r="J65" i="3"/>
  <c r="J63" i="3"/>
  <c r="J62" i="3"/>
  <c r="J60" i="3"/>
  <c r="J59" i="3"/>
  <c r="J57" i="3"/>
  <c r="J56" i="3"/>
  <c r="J54" i="3"/>
  <c r="J53" i="3"/>
  <c r="J51" i="3"/>
  <c r="J50" i="3"/>
  <c r="J48" i="3"/>
  <c r="J47" i="3"/>
  <c r="J45" i="3"/>
  <c r="J44" i="3"/>
  <c r="J42" i="3"/>
  <c r="J41" i="3"/>
  <c r="J39" i="3"/>
  <c r="J38" i="3"/>
  <c r="J36" i="3"/>
  <c r="J35" i="3"/>
  <c r="J33" i="3"/>
  <c r="J32" i="3"/>
  <c r="J30" i="3"/>
  <c r="J29" i="3"/>
  <c r="J27" i="3"/>
  <c r="J26" i="3"/>
  <c r="J24" i="3"/>
  <c r="J23" i="3"/>
  <c r="J21" i="3"/>
  <c r="K21" i="3" s="1"/>
  <c r="J20" i="3"/>
  <c r="J18" i="3"/>
  <c r="J17" i="3"/>
  <c r="J15" i="3"/>
  <c r="J14" i="3"/>
  <c r="J12" i="3"/>
  <c r="J11" i="3"/>
  <c r="J9" i="3"/>
  <c r="J8" i="3"/>
  <c r="J6" i="3"/>
  <c r="J5" i="3"/>
  <c r="J3" i="3"/>
  <c r="J2" i="3"/>
  <c r="Q48" i="1"/>
  <c r="P47" i="1"/>
  <c r="Q45" i="1"/>
  <c r="P44" i="1"/>
  <c r="Q42" i="1"/>
  <c r="P41" i="1"/>
  <c r="Q39" i="1"/>
  <c r="Q36" i="1"/>
  <c r="P35" i="1"/>
  <c r="Q33" i="1"/>
  <c r="P32" i="1"/>
  <c r="Q30" i="1"/>
  <c r="P29" i="1"/>
  <c r="Q27" i="1"/>
  <c r="P26" i="1"/>
  <c r="Q24" i="1"/>
  <c r="P23" i="1"/>
  <c r="Q21" i="1"/>
  <c r="P20" i="1"/>
  <c r="Q18" i="1"/>
  <c r="P17" i="1"/>
  <c r="Q15" i="1"/>
  <c r="P14" i="1"/>
  <c r="Q12" i="1"/>
  <c r="P11" i="1"/>
  <c r="Q9" i="1"/>
  <c r="P8" i="1"/>
  <c r="Q6" i="1"/>
  <c r="P5" i="1"/>
  <c r="K45" i="1"/>
  <c r="K46" i="1" s="1"/>
  <c r="L46" i="1" s="1"/>
  <c r="K27" i="1"/>
  <c r="K28" i="1" s="1"/>
  <c r="L28" i="1" s="1"/>
  <c r="K18" i="1"/>
  <c r="L18" i="1" s="1"/>
  <c r="K17" i="1"/>
  <c r="L17" i="1" s="1"/>
  <c r="K15" i="1"/>
  <c r="K16" i="1" s="1"/>
  <c r="L16" i="1" s="1"/>
  <c r="K14" i="1"/>
  <c r="L14" i="1" s="1"/>
  <c r="K12" i="1"/>
  <c r="K13" i="1" s="1"/>
  <c r="L13" i="1" s="1"/>
  <c r="K11" i="1"/>
  <c r="L11" i="1" s="1"/>
  <c r="H3" i="1"/>
  <c r="H4" i="1" s="1"/>
  <c r="H11" i="6"/>
  <c r="H9" i="6"/>
  <c r="H10" i="6" s="1"/>
  <c r="H3" i="6"/>
  <c r="H4" i="6" s="1"/>
  <c r="K2" i="6"/>
  <c r="K12" i="6"/>
  <c r="L12" i="6" s="1"/>
  <c r="K11" i="6"/>
  <c r="L11" i="6" s="1"/>
  <c r="K9" i="6"/>
  <c r="L9" i="6" s="1"/>
  <c r="K8" i="6"/>
  <c r="L8" i="6" s="1"/>
  <c r="K6" i="6"/>
  <c r="L6" i="6" s="1"/>
  <c r="K5" i="6"/>
  <c r="L5" i="6" s="1"/>
  <c r="K3" i="6"/>
  <c r="L3" i="6" s="1"/>
  <c r="K10" i="4"/>
  <c r="K7" i="4"/>
  <c r="K4" i="4"/>
  <c r="H3" i="4"/>
  <c r="H4" i="4" s="1"/>
  <c r="G3" i="4"/>
  <c r="H5" i="4"/>
  <c r="H11" i="4"/>
  <c r="K12" i="4"/>
  <c r="L12" i="4" s="1"/>
  <c r="K11" i="4"/>
  <c r="L11" i="4" s="1"/>
  <c r="K9" i="4"/>
  <c r="L9" i="4" s="1"/>
  <c r="K6" i="4"/>
  <c r="L6" i="4" s="1"/>
  <c r="K3" i="4"/>
  <c r="L3" i="4" s="1"/>
  <c r="H38" i="1"/>
  <c r="G12" i="3"/>
  <c r="H4" i="3"/>
  <c r="Q6" i="6" l="1"/>
  <c r="K13" i="4"/>
  <c r="S11" i="4"/>
  <c r="P2" i="6"/>
  <c r="K13" i="6"/>
  <c r="L13" i="6" s="1"/>
  <c r="K10" i="6"/>
  <c r="L10" i="6" s="1"/>
  <c r="K7" i="6"/>
  <c r="L7" i="6" s="1"/>
  <c r="K4" i="6"/>
  <c r="L4" i="6" s="1"/>
  <c r="L6" i="1"/>
  <c r="L9" i="1"/>
  <c r="L4" i="1"/>
  <c r="L12" i="1"/>
  <c r="L15" i="1"/>
  <c r="L42" i="1"/>
  <c r="L45" i="1"/>
  <c r="K40" i="1"/>
  <c r="L40" i="1" s="1"/>
  <c r="L27" i="1"/>
  <c r="K19" i="1"/>
  <c r="L19" i="1" s="1"/>
  <c r="L48" i="1"/>
  <c r="K25" i="1"/>
  <c r="L25" i="1" s="1"/>
  <c r="L33" i="1"/>
  <c r="K31" i="1"/>
  <c r="L31" i="1" s="1"/>
  <c r="K37" i="1"/>
  <c r="L37" i="1" s="1"/>
  <c r="L21" i="1"/>
  <c r="H8" i="6"/>
  <c r="H12" i="6"/>
  <c r="H13" i="6" s="1"/>
  <c r="H5" i="6"/>
  <c r="H6" i="6"/>
  <c r="H7" i="6" s="1"/>
  <c r="H2" i="6"/>
  <c r="H8" i="4"/>
  <c r="H2" i="4"/>
  <c r="H6" i="4"/>
  <c r="H7" i="4" s="1"/>
  <c r="H9" i="4" l="1"/>
  <c r="H10" i="4" s="1"/>
  <c r="H12" i="4"/>
  <c r="H13" i="4" s="1"/>
  <c r="H64" i="3"/>
  <c r="H9" i="3" l="1"/>
  <c r="H14" i="3"/>
  <c r="K23" i="3"/>
  <c r="K20" i="3"/>
  <c r="H79" i="3"/>
  <c r="L23" i="3" l="1"/>
  <c r="K96" i="3"/>
  <c r="K95" i="3"/>
  <c r="L95" i="3" s="1"/>
  <c r="K93" i="3"/>
  <c r="K92" i="3"/>
  <c r="L92" i="3" s="1"/>
  <c r="K90" i="3"/>
  <c r="K89" i="3"/>
  <c r="L89" i="3" s="1"/>
  <c r="K87" i="3"/>
  <c r="K86" i="3"/>
  <c r="L86" i="3" s="1"/>
  <c r="K84" i="3"/>
  <c r="K83" i="3"/>
  <c r="L83" i="3" s="1"/>
  <c r="K81" i="3"/>
  <c r="K80" i="3"/>
  <c r="L80" i="3" s="1"/>
  <c r="K78" i="3"/>
  <c r="K77" i="3"/>
  <c r="L77" i="3" s="1"/>
  <c r="K75" i="3"/>
  <c r="K74" i="3"/>
  <c r="L74" i="3" s="1"/>
  <c r="K72" i="3"/>
  <c r="K71" i="3"/>
  <c r="L71" i="3" s="1"/>
  <c r="K69" i="3"/>
  <c r="K68" i="3"/>
  <c r="L68" i="3" s="1"/>
  <c r="K66" i="3"/>
  <c r="K65" i="3"/>
  <c r="L65" i="3" s="1"/>
  <c r="K63" i="3"/>
  <c r="K62" i="3"/>
  <c r="L62" i="3" s="1"/>
  <c r="K60" i="3"/>
  <c r="K61" i="3" s="1"/>
  <c r="L61" i="3" s="1"/>
  <c r="K59" i="3"/>
  <c r="L59" i="3" s="1"/>
  <c r="K57" i="3"/>
  <c r="K58" i="3" s="1"/>
  <c r="L58" i="3" s="1"/>
  <c r="K56" i="3"/>
  <c r="L56" i="3" s="1"/>
  <c r="K54" i="3"/>
  <c r="K55" i="3" s="1"/>
  <c r="L55" i="3" s="1"/>
  <c r="K53" i="3"/>
  <c r="L53" i="3" s="1"/>
  <c r="K51" i="3"/>
  <c r="K52" i="3" s="1"/>
  <c r="L52" i="3" s="1"/>
  <c r="K50" i="3"/>
  <c r="L50" i="3" s="1"/>
  <c r="K48" i="3"/>
  <c r="K49" i="3" s="1"/>
  <c r="L49" i="3" s="1"/>
  <c r="K47" i="3"/>
  <c r="L47" i="3" s="1"/>
  <c r="K45" i="3"/>
  <c r="K46" i="3" s="1"/>
  <c r="L46" i="3" s="1"/>
  <c r="K44" i="3"/>
  <c r="L44" i="3" s="1"/>
  <c r="K42" i="3"/>
  <c r="K43" i="3" s="1"/>
  <c r="L43" i="3" s="1"/>
  <c r="K41" i="3"/>
  <c r="L41" i="3" s="1"/>
  <c r="K39" i="3"/>
  <c r="K40" i="3" s="1"/>
  <c r="L40" i="3" s="1"/>
  <c r="K38" i="3"/>
  <c r="L38" i="3" s="1"/>
  <c r="K36" i="3"/>
  <c r="K37" i="3" s="1"/>
  <c r="L37" i="3" s="1"/>
  <c r="K35" i="3"/>
  <c r="L35" i="3" s="1"/>
  <c r="K33" i="3"/>
  <c r="K34" i="3" s="1"/>
  <c r="L34" i="3" s="1"/>
  <c r="K32" i="3"/>
  <c r="L32" i="3" s="1"/>
  <c r="K30" i="3"/>
  <c r="K31" i="3" s="1"/>
  <c r="L31" i="3" s="1"/>
  <c r="K29" i="3"/>
  <c r="L29" i="3" s="1"/>
  <c r="K27" i="3"/>
  <c r="K28" i="3" s="1"/>
  <c r="L28" i="3" s="1"/>
  <c r="K26" i="3"/>
  <c r="L26" i="3" s="1"/>
  <c r="K24" i="3"/>
  <c r="L20" i="3"/>
  <c r="K18" i="3"/>
  <c r="K17" i="3"/>
  <c r="L17" i="3" s="1"/>
  <c r="K15" i="3"/>
  <c r="K14" i="3"/>
  <c r="L14" i="3" s="1"/>
  <c r="K12" i="3"/>
  <c r="K13" i="3" s="1"/>
  <c r="L13" i="3" s="1"/>
  <c r="K11" i="3"/>
  <c r="L11" i="3" s="1"/>
  <c r="K9" i="3"/>
  <c r="K10" i="3" s="1"/>
  <c r="L10" i="3" s="1"/>
  <c r="K8" i="3"/>
  <c r="L8" i="3" s="1"/>
  <c r="K6" i="3"/>
  <c r="K7" i="3" s="1"/>
  <c r="L7" i="3" s="1"/>
  <c r="K5" i="3"/>
  <c r="L5" i="3" s="1"/>
  <c r="K4" i="3"/>
  <c r="L4" i="3" s="1"/>
  <c r="L12" i="3" l="1"/>
  <c r="L27" i="3"/>
  <c r="L33" i="3"/>
  <c r="L42" i="3"/>
  <c r="L30" i="3"/>
  <c r="K16" i="3"/>
  <c r="L16" i="3" s="1"/>
  <c r="L18" i="3"/>
  <c r="K19" i="3"/>
  <c r="K82" i="3"/>
  <c r="L82" i="3" s="1"/>
  <c r="K25" i="3"/>
  <c r="L25" i="3" s="1"/>
  <c r="L54" i="3"/>
  <c r="L21" i="3"/>
  <c r="K22" i="3"/>
  <c r="L22" i="3" s="1"/>
  <c r="K88" i="3"/>
  <c r="L88" i="3" s="1"/>
  <c r="K94" i="3"/>
  <c r="L94" i="3" s="1"/>
  <c r="L45" i="3"/>
  <c r="L48" i="3"/>
  <c r="L51" i="3"/>
  <c r="L3" i="3"/>
  <c r="L69" i="3"/>
  <c r="K70" i="3"/>
  <c r="L39" i="3"/>
  <c r="K76" i="3"/>
  <c r="L76" i="3" s="1"/>
  <c r="L66" i="3"/>
  <c r="K67" i="3"/>
  <c r="L57" i="3"/>
  <c r="K73" i="3"/>
  <c r="L73" i="3" s="1"/>
  <c r="L60" i="3"/>
  <c r="K79" i="3"/>
  <c r="L79" i="3" s="1"/>
  <c r="L84" i="3"/>
  <c r="K85" i="3"/>
  <c r="L85" i="3" s="1"/>
  <c r="K91" i="3"/>
  <c r="L91" i="3" s="1"/>
  <c r="K64" i="3"/>
  <c r="L64" i="3" s="1"/>
  <c r="K97" i="3"/>
  <c r="L97" i="3" s="1"/>
  <c r="L36" i="3"/>
  <c r="L6" i="3"/>
  <c r="L9" i="3"/>
  <c r="L24" i="3"/>
  <c r="L19" i="3"/>
  <c r="L15" i="3"/>
  <c r="L72" i="3"/>
  <c r="L63" i="3"/>
  <c r="L78" i="3"/>
  <c r="L81" i="3"/>
  <c r="L75" i="3"/>
  <c r="L87" i="3"/>
  <c r="L90" i="3"/>
  <c r="L93" i="3"/>
  <c r="L96" i="3"/>
  <c r="L67" i="3"/>
  <c r="L70" i="3"/>
  <c r="H97" i="3" l="1"/>
  <c r="I97" i="3" s="1"/>
  <c r="H94" i="3"/>
  <c r="H91" i="3"/>
  <c r="I91" i="3" s="1"/>
  <c r="H88" i="3"/>
  <c r="H85" i="3"/>
  <c r="I85" i="3" s="1"/>
  <c r="H82" i="3"/>
  <c r="I82" i="3" s="1"/>
  <c r="H76" i="3"/>
  <c r="I76" i="3" s="1"/>
  <c r="H73" i="3"/>
  <c r="I73" i="3" s="1"/>
  <c r="H70" i="3"/>
  <c r="I70" i="3" s="1"/>
  <c r="H67" i="3"/>
  <c r="I67" i="3" s="1"/>
  <c r="I64" i="3"/>
  <c r="H61" i="3"/>
  <c r="I61" i="3" s="1"/>
  <c r="H58" i="3"/>
  <c r="I58" i="3" s="1"/>
  <c r="H55" i="3"/>
  <c r="I55" i="3" s="1"/>
  <c r="H52" i="3"/>
  <c r="I52" i="3" s="1"/>
  <c r="H49" i="3"/>
  <c r="I49" i="3" s="1"/>
  <c r="H46" i="3"/>
  <c r="I46" i="3" s="1"/>
  <c r="H43" i="3"/>
  <c r="I43" i="3" s="1"/>
  <c r="H40" i="3"/>
  <c r="I40" i="3" s="1"/>
  <c r="H28" i="3"/>
  <c r="I28" i="3" s="1"/>
  <c r="H37" i="3"/>
  <c r="I37" i="3" s="1"/>
  <c r="H34" i="3"/>
  <c r="I34" i="3" s="1"/>
  <c r="H31" i="3"/>
  <c r="I31" i="3" s="1"/>
  <c r="H25" i="3"/>
  <c r="I25" i="3" s="1"/>
  <c r="H22" i="3"/>
  <c r="I22" i="3" s="1"/>
  <c r="H19" i="3"/>
  <c r="I19" i="3" s="1"/>
  <c r="H16" i="3"/>
  <c r="I16" i="3" s="1"/>
  <c r="H13" i="3"/>
  <c r="I13" i="3" s="1"/>
  <c r="H10" i="3"/>
  <c r="I10" i="3" s="1"/>
  <c r="H7" i="3"/>
  <c r="I7" i="3" s="1"/>
  <c r="I4" i="3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5" i="7"/>
  <c r="I13" i="6"/>
  <c r="G13" i="6"/>
  <c r="G12" i="6"/>
  <c r="G11" i="6"/>
  <c r="I10" i="6"/>
  <c r="G10" i="6"/>
  <c r="G9" i="6"/>
  <c r="G8" i="6"/>
  <c r="I7" i="6"/>
  <c r="G7" i="6"/>
  <c r="G6" i="6"/>
  <c r="G5" i="6"/>
  <c r="I4" i="6"/>
  <c r="G4" i="6"/>
  <c r="G3" i="6"/>
  <c r="L2" i="6"/>
  <c r="G2" i="6"/>
  <c r="I13" i="4"/>
  <c r="G13" i="4"/>
  <c r="G12" i="4"/>
  <c r="G11" i="4"/>
  <c r="I10" i="4"/>
  <c r="G10" i="4"/>
  <c r="G9" i="4"/>
  <c r="K8" i="4"/>
  <c r="L8" i="4" s="1"/>
  <c r="G8" i="4"/>
  <c r="I7" i="4"/>
  <c r="G7" i="4"/>
  <c r="G6" i="4"/>
  <c r="K5" i="4"/>
  <c r="L5" i="4" s="1"/>
  <c r="G5" i="4"/>
  <c r="I4" i="4"/>
  <c r="G4" i="4"/>
  <c r="K2" i="4"/>
  <c r="L2" i="4" s="1"/>
  <c r="G2" i="4"/>
  <c r="G97" i="3"/>
  <c r="G96" i="3"/>
  <c r="G95" i="3"/>
  <c r="I94" i="3"/>
  <c r="G94" i="3"/>
  <c r="G93" i="3"/>
  <c r="G92" i="3"/>
  <c r="G91" i="3"/>
  <c r="G90" i="3"/>
  <c r="G89" i="3"/>
  <c r="I88" i="3"/>
  <c r="G88" i="3"/>
  <c r="G87" i="3"/>
  <c r="G86" i="3"/>
  <c r="G85" i="3"/>
  <c r="G84" i="3"/>
  <c r="G83" i="3"/>
  <c r="G82" i="3"/>
  <c r="G81" i="3"/>
  <c r="G80" i="3"/>
  <c r="I79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1" i="3"/>
  <c r="G10" i="3"/>
  <c r="G9" i="3"/>
  <c r="G8" i="3"/>
  <c r="G7" i="3"/>
  <c r="G6" i="3"/>
  <c r="G5" i="3"/>
  <c r="G4" i="3"/>
  <c r="G3" i="3"/>
  <c r="K2" i="3"/>
  <c r="L2" i="3" s="1"/>
  <c r="G2" i="3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I4" i="1"/>
  <c r="G4" i="1"/>
  <c r="G3" i="1"/>
  <c r="K2" i="1"/>
  <c r="L2" i="1" s="1"/>
  <c r="G2" i="1"/>
  <c r="I8" i="4" l="1"/>
  <c r="H8" i="1"/>
  <c r="I8" i="1" s="1"/>
  <c r="I11" i="4"/>
  <c r="H12" i="1"/>
  <c r="H13" i="1" s="1"/>
  <c r="I8" i="6"/>
  <c r="H9" i="1"/>
  <c r="H10" i="1" s="1"/>
  <c r="H11" i="1"/>
  <c r="I11" i="1" s="1"/>
  <c r="I9" i="6"/>
  <c r="I12" i="4"/>
  <c r="I11" i="6"/>
  <c r="I9" i="4"/>
  <c r="I12" i="6"/>
  <c r="H20" i="1"/>
  <c r="I20" i="1" s="1"/>
  <c r="H21" i="1"/>
  <c r="H22" i="1" s="1"/>
  <c r="I22" i="1" s="1"/>
  <c r="H24" i="1"/>
  <c r="H25" i="1" s="1"/>
  <c r="H23" i="1"/>
  <c r="I23" i="1" s="1"/>
  <c r="I2" i="6"/>
  <c r="I2" i="4"/>
  <c r="H6" i="1"/>
  <c r="H7" i="1" s="1"/>
  <c r="H2" i="1"/>
  <c r="I2" i="1" s="1"/>
  <c r="I3" i="4"/>
  <c r="I6" i="4"/>
  <c r="H5" i="1"/>
  <c r="I5" i="1" s="1"/>
  <c r="I6" i="6"/>
  <c r="I5" i="6"/>
  <c r="I5" i="4"/>
  <c r="I3" i="6"/>
  <c r="I3" i="1"/>
  <c r="H42" i="1"/>
  <c r="H43" i="1" s="1"/>
  <c r="H47" i="1"/>
  <c r="I47" i="1" s="1"/>
  <c r="H44" i="1"/>
  <c r="I44" i="1" s="1"/>
  <c r="I38" i="1"/>
  <c r="H41" i="1"/>
  <c r="I41" i="1" s="1"/>
  <c r="H48" i="1"/>
  <c r="H49" i="1" s="1"/>
  <c r="H45" i="1"/>
  <c r="H46" i="1" s="1"/>
  <c r="H39" i="1"/>
  <c r="H40" i="1" s="1"/>
  <c r="H26" i="1"/>
  <c r="I26" i="1" s="1"/>
  <c r="H30" i="1"/>
  <c r="H31" i="1" s="1"/>
  <c r="H33" i="1"/>
  <c r="H34" i="1" s="1"/>
  <c r="H32" i="1"/>
  <c r="I32" i="1" s="1"/>
  <c r="H36" i="1"/>
  <c r="H37" i="1" s="1"/>
  <c r="H27" i="1"/>
  <c r="H28" i="1" s="1"/>
  <c r="H29" i="1"/>
  <c r="I29" i="1" s="1"/>
  <c r="H35" i="1"/>
  <c r="I35" i="1" s="1"/>
  <c r="H14" i="1"/>
  <c r="I14" i="1" s="1"/>
  <c r="H18" i="1"/>
  <c r="H19" i="1" s="1"/>
  <c r="H17" i="1"/>
  <c r="I17" i="1" s="1"/>
  <c r="H15" i="1"/>
  <c r="H16" i="1" s="1"/>
  <c r="I21" i="1" l="1"/>
  <c r="I45" i="1"/>
  <c r="I46" i="1"/>
  <c r="I39" i="1"/>
  <c r="I40" i="1"/>
  <c r="I48" i="1"/>
  <c r="I49" i="1"/>
  <c r="I33" i="1"/>
  <c r="I34" i="1"/>
  <c r="I30" i="1"/>
  <c r="I31" i="1"/>
  <c r="I24" i="1"/>
  <c r="I25" i="1"/>
  <c r="I15" i="1"/>
  <c r="I16" i="1"/>
  <c r="I9" i="1"/>
  <c r="I10" i="1"/>
  <c r="I42" i="1"/>
  <c r="I43" i="1"/>
  <c r="I18" i="1"/>
  <c r="I19" i="1"/>
  <c r="I12" i="1"/>
  <c r="I13" i="1"/>
  <c r="I27" i="1"/>
  <c r="I28" i="1"/>
  <c r="I36" i="1"/>
  <c r="I37" i="1"/>
  <c r="I6" i="1"/>
  <c r="I7" i="1"/>
  <c r="H54" i="3"/>
  <c r="I54" i="3" s="1"/>
  <c r="H57" i="3"/>
  <c r="I57" i="3" s="1"/>
  <c r="H51" i="3"/>
  <c r="I51" i="3" s="1"/>
  <c r="H60" i="3"/>
  <c r="I60" i="3" s="1"/>
  <c r="H96" i="3"/>
  <c r="I96" i="3" s="1"/>
  <c r="H90" i="3"/>
  <c r="I90" i="3" s="1"/>
  <c r="H93" i="3"/>
  <c r="I93" i="3" s="1"/>
  <c r="H87" i="3"/>
  <c r="I87" i="3" s="1"/>
  <c r="H71" i="3"/>
  <c r="I71" i="3" s="1"/>
  <c r="H68" i="3"/>
  <c r="I68" i="3" s="1"/>
  <c r="H65" i="3"/>
  <c r="I65" i="3" s="1"/>
  <c r="H62" i="3"/>
  <c r="I62" i="3" s="1"/>
  <c r="H50" i="3"/>
  <c r="I50" i="3" s="1"/>
  <c r="H53" i="3"/>
  <c r="I53" i="3" s="1"/>
  <c r="H59" i="3"/>
  <c r="I59" i="3" s="1"/>
  <c r="H56" i="3"/>
  <c r="I56" i="3" s="1"/>
  <c r="H26" i="3"/>
  <c r="I26" i="3" s="1"/>
  <c r="H32" i="3"/>
  <c r="I32" i="3" s="1"/>
  <c r="H35" i="3"/>
  <c r="I35" i="3" s="1"/>
  <c r="H29" i="3"/>
  <c r="I29" i="3" s="1"/>
  <c r="H11" i="3"/>
  <c r="I11" i="3" s="1"/>
  <c r="H8" i="3"/>
  <c r="I8" i="3" s="1"/>
  <c r="H5" i="3"/>
  <c r="I5" i="3" s="1"/>
  <c r="H2" i="3"/>
  <c r="I2" i="3" s="1"/>
  <c r="H89" i="3"/>
  <c r="I89" i="3" s="1"/>
  <c r="H86" i="3"/>
  <c r="I86" i="3" s="1"/>
  <c r="H95" i="3"/>
  <c r="I95" i="3" s="1"/>
  <c r="H92" i="3"/>
  <c r="I92" i="3" s="1"/>
  <c r="H18" i="3"/>
  <c r="I18" i="3" s="1"/>
  <c r="H15" i="3"/>
  <c r="I15" i="3" s="1"/>
  <c r="H24" i="3"/>
  <c r="I24" i="3" s="1"/>
  <c r="H21" i="3"/>
  <c r="I21" i="3" s="1"/>
  <c r="H23" i="3"/>
  <c r="I23" i="3" s="1"/>
  <c r="H20" i="3"/>
  <c r="I20" i="3" s="1"/>
  <c r="H33" i="3"/>
  <c r="I33" i="3" s="1"/>
  <c r="H36" i="3"/>
  <c r="I36" i="3" s="1"/>
  <c r="H27" i="3"/>
  <c r="I27" i="3" s="1"/>
  <c r="H30" i="3"/>
  <c r="I30" i="3" s="1"/>
  <c r="H77" i="3"/>
  <c r="I77" i="3" s="1"/>
  <c r="H74" i="3"/>
  <c r="I74" i="3" s="1"/>
  <c r="H83" i="3"/>
  <c r="I83" i="3" s="1"/>
  <c r="H80" i="3"/>
  <c r="I80" i="3" s="1"/>
  <c r="H38" i="3"/>
  <c r="I38" i="3" s="1"/>
  <c r="H41" i="3"/>
  <c r="I41" i="3" s="1"/>
  <c r="H47" i="3"/>
  <c r="I47" i="3" s="1"/>
  <c r="H44" i="3"/>
  <c r="I44" i="3" s="1"/>
  <c r="H81" i="3"/>
  <c r="I81" i="3" s="1"/>
  <c r="H75" i="3"/>
  <c r="I75" i="3" s="1"/>
  <c r="H84" i="3"/>
  <c r="I84" i="3" s="1"/>
  <c r="H78" i="3"/>
  <c r="I78" i="3" s="1"/>
  <c r="H69" i="3"/>
  <c r="I69" i="3" s="1"/>
  <c r="H66" i="3"/>
  <c r="I66" i="3" s="1"/>
  <c r="H63" i="3"/>
  <c r="I63" i="3" s="1"/>
  <c r="H72" i="3"/>
  <c r="I72" i="3" s="1"/>
  <c r="H48" i="3"/>
  <c r="I48" i="3" s="1"/>
  <c r="H42" i="3"/>
  <c r="I42" i="3" s="1"/>
  <c r="H45" i="3"/>
  <c r="I45" i="3" s="1"/>
  <c r="H39" i="3"/>
  <c r="I39" i="3" s="1"/>
  <c r="H12" i="3"/>
  <c r="I12" i="3" s="1"/>
  <c r="I9" i="3"/>
  <c r="H3" i="3"/>
  <c r="I3" i="3" s="1"/>
  <c r="H6" i="3"/>
  <c r="I6" i="3" s="1"/>
  <c r="H17" i="3" l="1"/>
  <c r="I17" i="3" s="1"/>
  <c r="I14" i="3"/>
</calcChain>
</file>

<file path=xl/sharedStrings.xml><?xml version="1.0" encoding="utf-8"?>
<sst xmlns="http://schemas.openxmlformats.org/spreadsheetml/2006/main" count="467" uniqueCount="108">
  <si>
    <t>管道吊架分组</t>
    <phoneticPr fontId="1" type="noConversion"/>
  </si>
  <si>
    <t>试验结果</t>
    <phoneticPr fontId="1" type="noConversion"/>
  </si>
  <si>
    <t>模拟结果</t>
    <phoneticPr fontId="1" type="noConversion"/>
  </si>
  <si>
    <t>计算结果</t>
    <phoneticPr fontId="1" type="noConversion"/>
  </si>
  <si>
    <t>单摆结果</t>
    <phoneticPr fontId="1" type="noConversion"/>
  </si>
  <si>
    <t>模态方向</t>
    <phoneticPr fontId="1" type="noConversion"/>
  </si>
  <si>
    <t>径向平动</t>
    <phoneticPr fontId="1" type="noConversion"/>
  </si>
  <si>
    <t>轴向平动</t>
    <phoneticPr fontId="1" type="noConversion"/>
  </si>
  <si>
    <t>平面转动</t>
    <phoneticPr fontId="1" type="noConversion"/>
  </si>
  <si>
    <t>管夹横担/CA</t>
    <phoneticPr fontId="1" type="noConversion"/>
  </si>
  <si>
    <t>组件方向</t>
    <phoneticPr fontId="1" type="noConversion"/>
  </si>
  <si>
    <t>组件</t>
    <phoneticPr fontId="1" type="noConversion"/>
  </si>
  <si>
    <t>AA</t>
    <phoneticPr fontId="1" type="noConversion"/>
  </si>
  <si>
    <t>CA_07+13_Mid</t>
    <phoneticPr fontId="1" type="noConversion"/>
  </si>
  <si>
    <t>AR</t>
    <phoneticPr fontId="1" type="noConversion"/>
  </si>
  <si>
    <t>RA</t>
    <phoneticPr fontId="1" type="noConversion"/>
  </si>
  <si>
    <t>RR</t>
    <phoneticPr fontId="1" type="noConversion"/>
  </si>
  <si>
    <t>CA_13+07_Mid</t>
    <phoneticPr fontId="1" type="noConversion"/>
  </si>
  <si>
    <t>CA_07_Top</t>
    <phoneticPr fontId="1" type="noConversion"/>
  </si>
  <si>
    <t>A</t>
    <phoneticPr fontId="1" type="noConversion"/>
  </si>
  <si>
    <t>R</t>
    <phoneticPr fontId="1" type="noConversion"/>
  </si>
  <si>
    <t>CA_13_Top</t>
    <phoneticPr fontId="1" type="noConversion"/>
  </si>
  <si>
    <t>CA_07</t>
    <phoneticPr fontId="1" type="noConversion"/>
  </si>
  <si>
    <t>CA_13</t>
    <phoneticPr fontId="1" type="noConversion"/>
  </si>
  <si>
    <t>摆长</t>
    <phoneticPr fontId="1" type="noConversion"/>
  </si>
  <si>
    <t>差距百分比</t>
  </si>
  <si>
    <t>差距百分比</t>
    <phoneticPr fontId="1" type="noConversion"/>
  </si>
  <si>
    <t>三孔管夹/TB</t>
    <phoneticPr fontId="1" type="noConversion"/>
  </si>
  <si>
    <t>TB_07</t>
    <phoneticPr fontId="1" type="noConversion"/>
  </si>
  <si>
    <t>TB_13</t>
    <phoneticPr fontId="1" type="noConversion"/>
  </si>
  <si>
    <t>TB_07_Top</t>
    <phoneticPr fontId="1" type="noConversion"/>
  </si>
  <si>
    <t>TB_13_Top</t>
    <phoneticPr fontId="1" type="noConversion"/>
  </si>
  <si>
    <t>TB_07+13_Mid</t>
    <phoneticPr fontId="1" type="noConversion"/>
  </si>
  <si>
    <t>TB_13+07_Mid</t>
    <phoneticPr fontId="1" type="noConversion"/>
  </si>
  <si>
    <t>TB_07+07_Mid</t>
    <phoneticPr fontId="1" type="noConversion"/>
  </si>
  <si>
    <t>TB_07+07_MidTop</t>
    <phoneticPr fontId="1" type="noConversion"/>
  </si>
  <si>
    <t>TB_07+13_MidTop</t>
    <phoneticPr fontId="1" type="noConversion"/>
  </si>
  <si>
    <t>TB_13+07_MidTop</t>
    <phoneticPr fontId="1" type="noConversion"/>
  </si>
  <si>
    <t>平面转动</t>
  </si>
  <si>
    <t>TB_07+07_MidTop_AA</t>
  </si>
  <si>
    <t>TB_07+07_MidTop_AR</t>
  </si>
  <si>
    <t>TB_07+07_MidTop_RA</t>
  </si>
  <si>
    <t>TB_07+07_MidTop_RR</t>
  </si>
  <si>
    <t>TB_07+07_Mid_AA</t>
  </si>
  <si>
    <t>TB_07+07_Mid_AR</t>
  </si>
  <si>
    <t>TB_07+07_Mid_RA</t>
  </si>
  <si>
    <t>TB_07+07_Mid_RR</t>
  </si>
  <si>
    <t>TB_07+13_MidTop_AA</t>
  </si>
  <si>
    <t>TB_07+13_MidTop_AR</t>
  </si>
  <si>
    <t>TB_07+13_MidTop_RA</t>
  </si>
  <si>
    <t>TB_07+13_MidTop_RR</t>
  </si>
  <si>
    <t>TB_07+13_Mid_AA</t>
  </si>
  <si>
    <t>TB_07+13_Mid_AR</t>
  </si>
  <si>
    <t>TB_07+13_Mid_RA</t>
  </si>
  <si>
    <t>TB_07+13_Mid_RR</t>
  </si>
  <si>
    <t>TB_07_R</t>
  </si>
  <si>
    <t>TB_07_Top_A</t>
  </si>
  <si>
    <t>TB_07_Top_R</t>
  </si>
  <si>
    <t>TB_13+07_MidTop_AA</t>
  </si>
  <si>
    <t>TB_13+07_MidTop_AR</t>
  </si>
  <si>
    <t>TB_13+07_MidTop_RA</t>
  </si>
  <si>
    <t>TB_13+07_MidTop_RR</t>
  </si>
  <si>
    <t>TB_13+07_Mid_AA</t>
  </si>
  <si>
    <t>TB_13+07_Mid_AR</t>
  </si>
  <si>
    <t>TB_13+07_Mid_RA</t>
  </si>
  <si>
    <t>TB_13+07_Mid_RR</t>
  </si>
  <si>
    <t>TB_13_A</t>
  </si>
  <si>
    <t>TB_13_R</t>
  </si>
  <si>
    <t>TB_13_Top_A</t>
  </si>
  <si>
    <t>TB_13_Top_R</t>
  </si>
  <si>
    <t>TB_07_A</t>
    <phoneticPr fontId="1" type="noConversion"/>
  </si>
  <si>
    <t>07</t>
    <phoneticPr fontId="1" type="noConversion"/>
  </si>
  <si>
    <t>13</t>
    <phoneticPr fontId="1" type="noConversion"/>
  </si>
  <si>
    <t>07+07</t>
    <phoneticPr fontId="1" type="noConversion"/>
  </si>
  <si>
    <t>07+13</t>
    <phoneticPr fontId="1" type="noConversion"/>
  </si>
  <si>
    <t>13+07</t>
    <phoneticPr fontId="1" type="noConversion"/>
  </si>
  <si>
    <t>MidTop</t>
    <phoneticPr fontId="1" type="noConversion"/>
  </si>
  <si>
    <t>Mid</t>
    <phoneticPr fontId="1" type="noConversion"/>
  </si>
  <si>
    <t>Top</t>
    <phoneticPr fontId="1" type="noConversion"/>
  </si>
  <si>
    <t>Single Rod</t>
    <phoneticPr fontId="1" type="noConversion"/>
  </si>
  <si>
    <t>Working Condition</t>
    <phoneticPr fontId="1" type="noConversion"/>
  </si>
  <si>
    <t>Radial Translation</t>
    <phoneticPr fontId="1" type="noConversion"/>
  </si>
  <si>
    <t>Axial Translation</t>
    <phoneticPr fontId="1" type="noConversion"/>
  </si>
  <si>
    <t>Plane Rotation</t>
    <phoneticPr fontId="1" type="noConversion"/>
  </si>
  <si>
    <t>k_θ_axial_cor</t>
    <phoneticPr fontId="1" type="noConversion"/>
  </si>
  <si>
    <t>k_θ_radial_cor</t>
    <phoneticPr fontId="1" type="noConversion"/>
  </si>
  <si>
    <t>l(m)</t>
    <phoneticPr fontId="1" type="noConversion"/>
  </si>
  <si>
    <t>m(kg)</t>
    <phoneticPr fontId="1" type="noConversion"/>
  </si>
  <si>
    <t>回归结果</t>
    <phoneticPr fontId="1" type="noConversion"/>
  </si>
  <si>
    <t>m(kg)_radial</t>
    <phoneticPr fontId="1" type="noConversion"/>
  </si>
  <si>
    <t>l(m)_radial</t>
    <phoneticPr fontId="1" type="noConversion"/>
  </si>
  <si>
    <t>c_radial</t>
    <phoneticPr fontId="1" type="noConversion"/>
  </si>
  <si>
    <t>m(kg)_axial</t>
    <phoneticPr fontId="1" type="noConversion"/>
  </si>
  <si>
    <t>l(m)_axial</t>
    <phoneticPr fontId="1" type="noConversion"/>
  </si>
  <si>
    <t>c_axial</t>
    <phoneticPr fontId="1" type="noConversion"/>
  </si>
  <si>
    <t>ml</t>
    <phoneticPr fontId="1" type="noConversion"/>
  </si>
  <si>
    <t>m2</t>
    <phoneticPr fontId="1" type="noConversion"/>
  </si>
  <si>
    <t>l2</t>
    <phoneticPr fontId="1" type="noConversion"/>
  </si>
  <si>
    <t>r</t>
    <phoneticPr fontId="1" type="noConversion"/>
  </si>
  <si>
    <t>RADIAL</t>
    <phoneticPr fontId="1" type="noConversion"/>
  </si>
  <si>
    <t>AXIAL</t>
    <phoneticPr fontId="1" type="noConversion"/>
  </si>
  <si>
    <t>B</t>
    <phoneticPr fontId="1" type="noConversion"/>
  </si>
  <si>
    <t>CSBD_07</t>
    <phoneticPr fontId="1" type="noConversion"/>
  </si>
  <si>
    <t>CSBD_13</t>
    <phoneticPr fontId="1" type="noConversion"/>
  </si>
  <si>
    <t>CSB_07</t>
    <phoneticPr fontId="1" type="noConversion"/>
  </si>
  <si>
    <t>CSB_13</t>
    <phoneticPr fontId="1" type="noConversion"/>
  </si>
  <si>
    <t>C钢带/CSB</t>
    <phoneticPr fontId="1" type="noConversion"/>
  </si>
  <si>
    <t>拉撑杆/CSBD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</si>
</sst>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);[Red]\(0.000\)"/>
    <numFmt numFmtId="178" formatCode="0.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rgb="FF333333"/>
      <name val="Times New Roman"/>
      <family val="1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28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10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0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0" fillId="4" borderId="0" xfId="0" applyFill="1"/>
    <xf numFmtId="0" fontId="5" fillId="0" borderId="0" xfId="0" applyFont="1"/>
    <xf numFmtId="11" fontId="0" fillId="0" borderId="0" xfId="0" applyNumberFormat="1"/>
    <xf numFmtId="178" fontId="0" fillId="0" borderId="0" xfId="0" applyNumberForma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ngji/research%20group/Programs/&#30005;&#21378;/Test/Modal_Test/Hunutnu_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LU_统计_1"/>
      <sheetName val="Sheet6"/>
      <sheetName val="HULU_统计_2"/>
      <sheetName val="HULU_统计_3"/>
      <sheetName val="HULU_统计_4"/>
      <sheetName val="HULU_统计_5"/>
      <sheetName val="管道质量计算"/>
      <sheetName val="ZD2010构件统计表"/>
      <sheetName val="工况零件表_限位_单吊"/>
      <sheetName val="工况零件表_限位_双吊"/>
      <sheetName val="工况零件表_变力_单吊"/>
      <sheetName val="简化零件_1"/>
      <sheetName val="高度计算"/>
      <sheetName val="简化零件_2"/>
      <sheetName val="简化零件_3"/>
      <sheetName val="预算1"/>
      <sheetName val="预算2"/>
      <sheetName val="预算3"/>
      <sheetName val="预算4"/>
      <sheetName val="预算4_eng"/>
      <sheetName val="model_set"/>
      <sheetName val="frame模态"/>
      <sheetName val=" 吊架模态"/>
      <sheetName val="连接器节点_lcg"/>
      <sheetName val="连接器节点_cxgdgq"/>
      <sheetName val="连接器节点_gjhd"/>
      <sheetName val="连接器节点_skgq"/>
      <sheetName val="钢杆计算"/>
      <sheetName val=" 吊架模态_2"/>
      <sheetName val=" 吊架模态_3"/>
      <sheetName val="test_program"/>
      <sheetName val="rotation"/>
      <sheetName val="Sheet4"/>
      <sheetName val="工况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P3">
            <v>0.73787690863701283</v>
          </cell>
          <cell r="Q3">
            <v>0.52353851673833995</v>
          </cell>
        </row>
        <row r="4">
          <cell r="P4">
            <v>0.49596438697613188</v>
          </cell>
          <cell r="Q4">
            <v>0.40726483697240323</v>
          </cell>
        </row>
        <row r="5">
          <cell r="P5">
            <v>0.69235564810367745</v>
          </cell>
          <cell r="Q5">
            <v>0.49808602544631114</v>
          </cell>
          <cell r="W5">
            <v>0.79505368359243311</v>
          </cell>
        </row>
        <row r="6">
          <cell r="P6">
            <v>0.48086923677114951</v>
          </cell>
          <cell r="Q6">
            <v>0.39487256307240148</v>
          </cell>
          <cell r="W6">
            <v>0.55219721117077381</v>
          </cell>
        </row>
        <row r="7">
          <cell r="P7">
            <v>0.56778531258366449</v>
          </cell>
          <cell r="Q7">
            <v>0.44251975661707288</v>
          </cell>
          <cell r="W7">
            <v>0.6781702404622737</v>
          </cell>
        </row>
        <row r="8">
          <cell r="P8">
            <v>0.43008401417442699</v>
          </cell>
          <cell r="Q8">
            <v>0.36511226836505223</v>
          </cell>
          <cell r="W8">
            <v>0.51369799966192831</v>
          </cell>
        </row>
        <row r="9">
          <cell r="P9">
            <v>0.4021267714937472</v>
          </cell>
          <cell r="Q9">
            <v>0.347142328530058</v>
          </cell>
          <cell r="W9">
            <v>0.48030550152712487</v>
          </cell>
        </row>
        <row r="10">
          <cell r="P10">
            <v>0.34199616547404965</v>
          </cell>
          <cell r="Q10">
            <v>0.30564645447435224</v>
          </cell>
          <cell r="W10">
            <v>0.4084847153254535</v>
          </cell>
        </row>
        <row r="11">
          <cell r="P11">
            <v>0.34199616547404965</v>
          </cell>
          <cell r="Q11">
            <v>0.30564645447435224</v>
          </cell>
          <cell r="W11">
            <v>0.4084847153254535</v>
          </cell>
        </row>
        <row r="13">
          <cell r="P13">
            <v>0.37058814460530898</v>
          </cell>
          <cell r="Q13">
            <v>0.32642477081742249</v>
          </cell>
          <cell r="W13">
            <v>0.4590778970406128</v>
          </cell>
        </row>
        <row r="14">
          <cell r="P14">
            <v>0.32171919982072511</v>
          </cell>
          <cell r="Q14">
            <v>0.29118346034685305</v>
          </cell>
          <cell r="W14">
            <v>0.39853993129917126</v>
          </cell>
        </row>
        <row r="15">
          <cell r="P15">
            <v>0.32171919982072511</v>
          </cell>
          <cell r="Q15">
            <v>0.29118346034685305</v>
          </cell>
          <cell r="W15">
            <v>0.39853993129917126</v>
          </cell>
        </row>
        <row r="17">
          <cell r="P17">
            <v>0.65747504982840566</v>
          </cell>
          <cell r="Q17">
            <v>0.41447586551399962</v>
          </cell>
        </row>
        <row r="18">
          <cell r="P18">
            <v>0.46644713664733961</v>
          </cell>
          <cell r="Q18">
            <v>0.348406714121967</v>
          </cell>
        </row>
        <row r="19">
          <cell r="P19">
            <v>0.6985124936712499</v>
          </cell>
        </row>
        <row r="20">
          <cell r="P20">
            <v>0.48134388477125983</v>
          </cell>
        </row>
        <row r="21">
          <cell r="P21">
            <v>0.56696172180277937</v>
          </cell>
        </row>
        <row r="22">
          <cell r="P22">
            <v>0.42863012928834543</v>
          </cell>
        </row>
        <row r="23">
          <cell r="P23">
            <v>0.34568138969582196</v>
          </cell>
        </row>
        <row r="24">
          <cell r="P24">
            <v>0.34568138969582196</v>
          </cell>
        </row>
      </sheetData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3"/>
  <sheetViews>
    <sheetView zoomScale="190" zoomScaleNormal="190" workbookViewId="0">
      <selection activeCell="K4" sqref="K4"/>
    </sheetView>
  </sheetViews>
  <sheetFormatPr defaultRowHeight="14.25" x14ac:dyDescent="0.2"/>
  <cols>
    <col min="1" max="1" width="13" bestFit="1" customWidth="1"/>
    <col min="2" max="2" width="16.5" bestFit="1" customWidth="1"/>
    <col min="7" max="7" width="11" style="1" bestFit="1" customWidth="1"/>
    <col min="9" max="9" width="11" bestFit="1" customWidth="1"/>
    <col min="12" max="12" width="11" bestFit="1" customWidth="1"/>
    <col min="13" max="14" width="11" customWidth="1"/>
    <col min="15" max="15" width="8.75" customWidth="1"/>
    <col min="16" max="16" width="8.5" bestFit="1" customWidth="1"/>
    <col min="17" max="17" width="9.25" bestFit="1" customWidth="1"/>
    <col min="18" max="18" width="10.375" bestFit="1" customWidth="1"/>
  </cols>
  <sheetData>
    <row r="1" spans="1:19" ht="25.5" x14ac:dyDescent="0.2">
      <c r="A1" t="s">
        <v>0</v>
      </c>
      <c r="B1" t="s">
        <v>11</v>
      </c>
      <c r="C1" t="s">
        <v>10</v>
      </c>
      <c r="D1" t="s">
        <v>5</v>
      </c>
      <c r="E1" t="s">
        <v>1</v>
      </c>
      <c r="F1" t="s">
        <v>2</v>
      </c>
      <c r="G1" s="1" t="s">
        <v>25</v>
      </c>
      <c r="H1" t="s">
        <v>3</v>
      </c>
      <c r="I1" t="s">
        <v>25</v>
      </c>
      <c r="J1" t="s">
        <v>24</v>
      </c>
      <c r="K1" t="s">
        <v>4</v>
      </c>
      <c r="L1" t="s">
        <v>26</v>
      </c>
      <c r="M1" t="s">
        <v>87</v>
      </c>
      <c r="N1" t="s">
        <v>86</v>
      </c>
      <c r="O1" t="s">
        <v>98</v>
      </c>
      <c r="P1" s="18" t="s">
        <v>85</v>
      </c>
      <c r="Q1" s="18" t="s">
        <v>84</v>
      </c>
      <c r="S1" t="s">
        <v>88</v>
      </c>
    </row>
    <row r="2" spans="1:19" x14ac:dyDescent="0.2">
      <c r="A2" t="s">
        <v>9</v>
      </c>
      <c r="B2" t="s">
        <v>22</v>
      </c>
      <c r="C2" t="s">
        <v>19</v>
      </c>
      <c r="D2" t="s">
        <v>6</v>
      </c>
      <c r="E2">
        <v>0.69130000000000003</v>
      </c>
      <c r="F2">
        <v>0.73353999999999997</v>
      </c>
      <c r="G2" s="1">
        <f t="shared" ref="G2:G26" si="0">(F2-E2)/E2</f>
        <v>6.1102271083465852E-2</v>
      </c>
      <c r="H2">
        <f>[1]test_program!$P$19</f>
        <v>0.6985124936712499</v>
      </c>
      <c r="I2" s="1">
        <f t="shared" ref="I2:I26" si="1">(H2-E2)/E2</f>
        <v>1.0433232563648018E-2</v>
      </c>
      <c r="J2" s="3">
        <f>N2*1000</f>
        <v>739</v>
      </c>
      <c r="K2">
        <f>1/2/PI()*SQRT(9.8*1000/J2)</f>
        <v>0.57957674342627452</v>
      </c>
      <c r="L2" s="1">
        <f>(K2-E2)/E2</f>
        <v>-0.16161327437252351</v>
      </c>
      <c r="M2" s="19">
        <v>488.2</v>
      </c>
      <c r="N2" s="20">
        <v>0.73899999999999999</v>
      </c>
      <c r="O2">
        <v>8.0000000000000002E-3</v>
      </c>
      <c r="P2">
        <f>((E2*2*PI())^2-9.8/N2)/4*N2^2*M2</f>
        <v>373.62283878142557</v>
      </c>
      <c r="R2" s="25">
        <f>$A$31*M2*9.8*O2*(N2/O2)^$A$33</f>
        <v>417.3511044292149</v>
      </c>
      <c r="S2">
        <f>SQRT(4*R2/N2^2/M2+9.8/(N2))/2/PI()</f>
        <v>0.70321659470175979</v>
      </c>
    </row>
    <row r="3" spans="1:19" x14ac:dyDescent="0.2">
      <c r="A3" s="22" t="s">
        <v>89</v>
      </c>
      <c r="D3" t="s">
        <v>7</v>
      </c>
      <c r="E3">
        <v>0.69130000000000003</v>
      </c>
      <c r="F3">
        <v>0.73318000000000005</v>
      </c>
      <c r="G3" s="1">
        <f t="shared" si="0"/>
        <v>6.0581513091277343E-2</v>
      </c>
      <c r="H3">
        <f>[1]test_program!$P$19</f>
        <v>0.6985124936712499</v>
      </c>
      <c r="I3" s="1">
        <f t="shared" si="1"/>
        <v>1.0433232563648018E-2</v>
      </c>
      <c r="J3" s="3">
        <f>N3*1000</f>
        <v>739</v>
      </c>
      <c r="K3">
        <f>1/2/PI()*SQRT(9.8*1000/J3)</f>
        <v>0.57957674342627452</v>
      </c>
      <c r="L3" s="1">
        <f>(K3-E3)/E3</f>
        <v>-0.16161327437252351</v>
      </c>
      <c r="M3" s="19">
        <v>488.2</v>
      </c>
      <c r="N3" s="20">
        <v>0.73899999999999999</v>
      </c>
      <c r="O3">
        <v>8.0000000000000002E-3</v>
      </c>
      <c r="Q3">
        <f>((E3*2*PI())^2-9.8/N3)/4*N3^2*M3</f>
        <v>373.62283878142557</v>
      </c>
      <c r="R3" s="25">
        <f>$A$41*M3*9.8*O3*(N3/O3)^$A$43</f>
        <v>417.3511044292149</v>
      </c>
      <c r="S3">
        <f>SQRT(4*R3/N3^2/M3+9.8/(N3))/2/PI()</f>
        <v>0.70321659470175979</v>
      </c>
    </row>
    <row r="4" spans="1:19" x14ac:dyDescent="0.2">
      <c r="A4" s="22">
        <v>3.2494999999999998</v>
      </c>
      <c r="D4" t="s">
        <v>8</v>
      </c>
      <c r="E4">
        <v>0.78879999999999995</v>
      </c>
      <c r="F4">
        <v>0.85607</v>
      </c>
      <c r="G4" s="1">
        <f t="shared" si="0"/>
        <v>8.5281440162271877E-2</v>
      </c>
      <c r="H4">
        <f>SQRT(H3^2*488/(256.85+1.62*50.1)*0.9^2)</f>
        <v>0.75537140340247555</v>
      </c>
      <c r="I4" s="1">
        <f t="shared" si="1"/>
        <v>-4.2379052481648576E-2</v>
      </c>
      <c r="K4">
        <f>SQRT(K3^2*488/(256.85+1.62*50.1)*0.9^2)</f>
        <v>0.62675428432263236</v>
      </c>
      <c r="L4" s="1">
        <f>(K4-E4)/E4</f>
        <v>-0.20543320953013133</v>
      </c>
      <c r="M4" s="19">
        <v>488.2</v>
      </c>
      <c r="N4" s="20">
        <v>0.73899999999999999</v>
      </c>
      <c r="R4" s="25"/>
    </row>
    <row r="5" spans="1:19" x14ac:dyDescent="0.2">
      <c r="A5" s="22" t="s">
        <v>90</v>
      </c>
      <c r="C5" t="s">
        <v>20</v>
      </c>
      <c r="D5" t="s">
        <v>6</v>
      </c>
      <c r="E5">
        <v>0.69120000000000004</v>
      </c>
      <c r="F5">
        <v>0.73353999999999997</v>
      </c>
      <c r="G5" s="1">
        <f t="shared" si="0"/>
        <v>6.1255787037036935E-2</v>
      </c>
      <c r="H5">
        <f>[1]test_program!$P$19</f>
        <v>0.6985124936712499</v>
      </c>
      <c r="I5" s="1">
        <f t="shared" si="1"/>
        <v>1.0579417927155475E-2</v>
      </c>
      <c r="J5" s="3">
        <f t="shared" ref="J5:J6" si="2">N5*1000</f>
        <v>739</v>
      </c>
      <c r="K5">
        <f t="shared" ref="K5:K6" si="3">1/2/PI()*SQRT(9.8*1000/J5)</f>
        <v>0.57957674342627452</v>
      </c>
      <c r="L5" s="1">
        <f t="shared" ref="L5:L49" si="4">(K5-E5)/E5</f>
        <v>-0.16149197999670936</v>
      </c>
      <c r="M5" s="19">
        <v>488.2</v>
      </c>
      <c r="N5" s="20">
        <v>0.73899999999999999</v>
      </c>
      <c r="O5">
        <v>8.0000000000000002E-3</v>
      </c>
      <c r="P5">
        <f t="shared" ref="P5" si="5">((E5*2*PI())^2-9.8/N5)/4*N5^2*M5</f>
        <v>373.25904812771819</v>
      </c>
      <c r="R5" s="25">
        <f t="shared" ref="R5" si="6">$A$31*M5*9.8*O5*(N5/O5)^$A$33</f>
        <v>417.3511044292149</v>
      </c>
      <c r="S5">
        <f t="shared" ref="S5:S6" si="7">SQRT(4*R5/N5^2/M5+9.8/(N5))/2/PI()</f>
        <v>0.70321659470175979</v>
      </c>
    </row>
    <row r="6" spans="1:19" x14ac:dyDescent="0.2">
      <c r="A6" s="22">
        <v>-1217.3253999999999</v>
      </c>
      <c r="D6" t="s">
        <v>7</v>
      </c>
      <c r="E6">
        <v>0.69120000000000004</v>
      </c>
      <c r="F6">
        <v>0.73318000000000005</v>
      </c>
      <c r="G6" s="1">
        <f t="shared" si="0"/>
        <v>6.0734953703703728E-2</v>
      </c>
      <c r="H6">
        <f>[1]test_program!$P$19</f>
        <v>0.6985124936712499</v>
      </c>
      <c r="I6" s="1">
        <f t="shared" si="1"/>
        <v>1.0579417927155475E-2</v>
      </c>
      <c r="J6" s="3">
        <f t="shared" si="2"/>
        <v>739</v>
      </c>
      <c r="K6">
        <f t="shared" si="3"/>
        <v>0.57957674342627452</v>
      </c>
      <c r="L6" s="1">
        <f t="shared" si="4"/>
        <v>-0.16149197999670936</v>
      </c>
      <c r="M6" s="19">
        <v>488.2</v>
      </c>
      <c r="N6" s="20">
        <v>0.73899999999999999</v>
      </c>
      <c r="O6">
        <v>8.0000000000000002E-3</v>
      </c>
      <c r="Q6">
        <f t="shared" ref="Q6" si="8">((E6*2*PI())^2-9.8/N6)/4*N6^2*M6</f>
        <v>373.25904812771819</v>
      </c>
      <c r="R6" s="25">
        <f t="shared" ref="R6" si="9">$A$41*M6*9.8*O6*(N6/O6)^$A$43</f>
        <v>417.3511044292149</v>
      </c>
      <c r="S6">
        <f t="shared" si="7"/>
        <v>0.70321659470175979</v>
      </c>
    </row>
    <row r="7" spans="1:19" x14ac:dyDescent="0.2">
      <c r="A7" s="22" t="s">
        <v>91</v>
      </c>
      <c r="D7" t="s">
        <v>8</v>
      </c>
      <c r="E7">
        <v>0.80100000000000005</v>
      </c>
      <c r="F7">
        <v>0.85607</v>
      </c>
      <c r="G7" s="1">
        <f t="shared" si="0"/>
        <v>6.8751560549313293E-2</v>
      </c>
      <c r="H7">
        <f>SQRT(H6^2*488/(256.85+1.62*50.1)*0.9^2)</f>
        <v>0.75537140340247555</v>
      </c>
      <c r="I7" s="1">
        <f t="shared" si="1"/>
        <v>-5.6964540071815846E-2</v>
      </c>
      <c r="K7">
        <f>SQRT(K6^2*488/(256.85+1.62*50.1)*0.9^2)</f>
        <v>0.62675428432263236</v>
      </c>
      <c r="L7" s="1">
        <f t="shared" si="4"/>
        <v>-0.21753522556475366</v>
      </c>
      <c r="M7" s="19">
        <v>488.2</v>
      </c>
      <c r="N7" s="20">
        <v>0.73899999999999999</v>
      </c>
      <c r="R7" s="25"/>
    </row>
    <row r="8" spans="1:19" x14ac:dyDescent="0.2">
      <c r="A8" s="22">
        <v>1.2500000000000001E-2</v>
      </c>
      <c r="B8" t="s">
        <v>23</v>
      </c>
      <c r="C8" t="s">
        <v>19</v>
      </c>
      <c r="D8" t="s">
        <v>6</v>
      </c>
      <c r="E8">
        <v>0.48309999999999997</v>
      </c>
      <c r="F8">
        <v>0.49486999999999998</v>
      </c>
      <c r="G8" s="1">
        <f t="shared" si="0"/>
        <v>2.4363485820741056E-2</v>
      </c>
      <c r="H8">
        <f>[1]test_program!$P$20</f>
        <v>0.48134388477125983</v>
      </c>
      <c r="I8" s="1">
        <f t="shared" si="1"/>
        <v>-3.6350967268477348E-3</v>
      </c>
      <c r="J8" s="3">
        <f t="shared" ref="J8:J9" si="10">N8*1000</f>
        <v>1339</v>
      </c>
      <c r="K8">
        <f t="shared" ref="K8:K9" si="11">1/2/PI()*SQRT(9.8*1000/J8)</f>
        <v>0.43056912154377841</v>
      </c>
      <c r="L8" s="1">
        <f t="shared" si="4"/>
        <v>-0.10873706987419078</v>
      </c>
      <c r="M8" s="19">
        <v>488.2</v>
      </c>
      <c r="N8" s="20">
        <v>1.339</v>
      </c>
      <c r="O8">
        <v>8.0000000000000002E-3</v>
      </c>
      <c r="P8">
        <f t="shared" ref="P8" si="12">((E8*2*PI())^2-9.8/N8)/4*N8^2*M8</f>
        <v>414.63149311395597</v>
      </c>
      <c r="R8" s="25">
        <f t="shared" ref="R8" si="13">$A$31*M8*9.8*O8*(N8/O8)^$A$33</f>
        <v>346.33664598178694</v>
      </c>
      <c r="S8">
        <f t="shared" ref="S8:S9" si="14">SQRT(4*R8/N8^2/M8+9.8/(N8))/2/PI()</f>
        <v>0.47484746125527705</v>
      </c>
    </row>
    <row r="9" spans="1:19" x14ac:dyDescent="0.2">
      <c r="A9" s="22" t="s">
        <v>95</v>
      </c>
      <c r="D9" t="s">
        <v>7</v>
      </c>
      <c r="E9">
        <v>0.48309999999999997</v>
      </c>
      <c r="F9">
        <v>0.49486000000000002</v>
      </c>
      <c r="G9" s="1">
        <f t="shared" si="0"/>
        <v>2.4342786172635165E-2</v>
      </c>
      <c r="H9">
        <f>[1]test_program!$P$20</f>
        <v>0.48134388477125983</v>
      </c>
      <c r="I9" s="1">
        <f t="shared" si="1"/>
        <v>-3.6350967268477348E-3</v>
      </c>
      <c r="J9" s="3">
        <f t="shared" si="10"/>
        <v>1339</v>
      </c>
      <c r="K9">
        <f t="shared" si="11"/>
        <v>0.43056912154377841</v>
      </c>
      <c r="L9" s="1">
        <f t="shared" si="4"/>
        <v>-0.10873706987419078</v>
      </c>
      <c r="M9" s="19">
        <v>488.2</v>
      </c>
      <c r="N9" s="20">
        <v>1.339</v>
      </c>
      <c r="O9">
        <v>8.0000000000000002E-3</v>
      </c>
      <c r="Q9">
        <f t="shared" ref="Q9" si="15">((E9*2*PI())^2-9.8/N9)/4*N9^2*M9</f>
        <v>414.63149311395597</v>
      </c>
      <c r="R9" s="25">
        <f t="shared" ref="R9" si="16">$A$41*M9*9.8*O9*(N9/O9)^$A$43</f>
        <v>346.33664598178694</v>
      </c>
      <c r="S9">
        <f t="shared" si="14"/>
        <v>0.47484746125527705</v>
      </c>
    </row>
    <row r="10" spans="1:19" x14ac:dyDescent="0.2">
      <c r="A10" s="22">
        <v>3.7576999999999998</v>
      </c>
      <c r="D10" t="s">
        <v>8</v>
      </c>
      <c r="E10">
        <v>0.59389999999999998</v>
      </c>
      <c r="F10">
        <v>0.57654000000000005</v>
      </c>
      <c r="G10" s="1">
        <f t="shared" si="0"/>
        <v>-2.9230510186900035E-2</v>
      </c>
      <c r="H10">
        <f>SQRT(H9^2*488/(256.85+1.62*50.1)*0.9^2)</f>
        <v>0.5205252719931861</v>
      </c>
      <c r="I10" s="1">
        <f t="shared" si="1"/>
        <v>-0.12354727733088716</v>
      </c>
      <c r="K10">
        <f>SQRT(K9^2*488/(256.85+1.62*50.1)*0.9^2)</f>
        <v>0.46561744356625179</v>
      </c>
      <c r="L10" s="1">
        <f t="shared" si="4"/>
        <v>-0.21600026340082201</v>
      </c>
      <c r="M10" s="19">
        <v>488.2</v>
      </c>
      <c r="N10" s="20">
        <v>1.339</v>
      </c>
      <c r="R10" s="25"/>
    </row>
    <row r="11" spans="1:19" x14ac:dyDescent="0.2">
      <c r="A11" s="22" t="s">
        <v>96</v>
      </c>
      <c r="C11" t="s">
        <v>20</v>
      </c>
      <c r="D11" t="s">
        <v>6</v>
      </c>
      <c r="E11">
        <v>0.47299999999999998</v>
      </c>
      <c r="F11">
        <v>0.46710000000000002</v>
      </c>
      <c r="G11" s="1">
        <f t="shared" si="0"/>
        <v>-1.2473572938689136E-2</v>
      </c>
      <c r="H11">
        <f>[1]test_program!$P$20</f>
        <v>0.48134388477125983</v>
      </c>
      <c r="I11" s="1">
        <f t="shared" si="1"/>
        <v>1.7640348353614922E-2</v>
      </c>
      <c r="J11" s="3">
        <f t="shared" ref="J11:J12" si="17">N11*1000</f>
        <v>1339</v>
      </c>
      <c r="K11">
        <f t="shared" ref="K11:K12" si="18">1/2/PI()*SQRT(9.8*1000/J11)</f>
        <v>0.43056912154377841</v>
      </c>
      <c r="L11" s="1">
        <f t="shared" si="4"/>
        <v>-8.9705874114633335E-2</v>
      </c>
      <c r="M11" s="19">
        <v>488.2</v>
      </c>
      <c r="N11" s="20">
        <v>1.339</v>
      </c>
      <c r="O11">
        <v>8.0000000000000002E-3</v>
      </c>
      <c r="P11">
        <f t="shared" ref="P11" si="19">((E11*2*PI())^2-9.8/N11)/4*N11^2*M11</f>
        <v>331.20896125507142</v>
      </c>
      <c r="R11" s="25">
        <f t="shared" ref="R11" si="20">$A$31*M11*9.8*O11*(N11/O11)^$A$33</f>
        <v>346.33664598178694</v>
      </c>
      <c r="S11">
        <f t="shared" ref="S11:S12" si="21">SQRT(4*R11/N11^2/M11+9.8/(N11))/2/PI()</f>
        <v>0.47484746125527705</v>
      </c>
    </row>
    <row r="12" spans="1:19" x14ac:dyDescent="0.2">
      <c r="A12" s="22">
        <v>-6.3E-3</v>
      </c>
      <c r="D12" t="s">
        <v>7</v>
      </c>
      <c r="E12">
        <v>0.47299999999999998</v>
      </c>
      <c r="F12">
        <v>0.46695999999999999</v>
      </c>
      <c r="G12" s="1">
        <f t="shared" si="0"/>
        <v>-1.2769556025369957E-2</v>
      </c>
      <c r="H12">
        <f>[1]test_program!$P$20</f>
        <v>0.48134388477125983</v>
      </c>
      <c r="I12" s="1">
        <f t="shared" si="1"/>
        <v>1.7640348353614922E-2</v>
      </c>
      <c r="J12" s="3">
        <f t="shared" si="17"/>
        <v>1339</v>
      </c>
      <c r="K12">
        <f t="shared" si="18"/>
        <v>0.43056912154377841</v>
      </c>
      <c r="L12" s="1">
        <f t="shared" si="4"/>
        <v>-8.9705874114633335E-2</v>
      </c>
      <c r="M12" s="19">
        <v>488.2</v>
      </c>
      <c r="N12" s="20">
        <v>1.339</v>
      </c>
      <c r="O12">
        <v>8.0000000000000002E-3</v>
      </c>
      <c r="Q12">
        <f t="shared" ref="Q12" si="22">((E12*2*PI())^2-9.8/N12)/4*N12^2*M12</f>
        <v>331.20896125507142</v>
      </c>
      <c r="R12" s="25">
        <f t="shared" ref="R12" si="23">$A$41*M12*9.8*O12*(N12/O12)^$A$43</f>
        <v>346.33664598178694</v>
      </c>
      <c r="S12">
        <f t="shared" si="21"/>
        <v>0.47484746125527705</v>
      </c>
    </row>
    <row r="13" spans="1:19" x14ac:dyDescent="0.2">
      <c r="A13" s="22" t="s">
        <v>97</v>
      </c>
      <c r="D13" t="s">
        <v>8</v>
      </c>
      <c r="E13">
        <v>0.54900000000000004</v>
      </c>
      <c r="F13">
        <v>0.57669999999999999</v>
      </c>
      <c r="G13" s="1">
        <f t="shared" si="0"/>
        <v>5.045537340619298E-2</v>
      </c>
      <c r="H13">
        <f>SQRT(H12^2*488/(256.85+1.62*50.1)*0.9^2)</f>
        <v>0.5205252719931861</v>
      </c>
      <c r="I13" s="1">
        <f t="shared" si="1"/>
        <v>-5.1866535531537229E-2</v>
      </c>
      <c r="K13">
        <f>SQRT(K12^2*488/(256.85+1.62*50.1)*0.9^2)</f>
        <v>0.46561744356625179</v>
      </c>
      <c r="L13" s="1">
        <f t="shared" si="4"/>
        <v>-0.15188079496129006</v>
      </c>
      <c r="M13" s="19">
        <v>488.2</v>
      </c>
      <c r="N13" s="20">
        <v>1.339</v>
      </c>
      <c r="R13" s="25"/>
    </row>
    <row r="14" spans="1:19" x14ac:dyDescent="0.2">
      <c r="A14" s="22">
        <v>-297.4289</v>
      </c>
      <c r="B14" t="s">
        <v>18</v>
      </c>
      <c r="C14" t="s">
        <v>19</v>
      </c>
      <c r="D14" t="s">
        <v>6</v>
      </c>
      <c r="E14">
        <v>0.57909999999999995</v>
      </c>
      <c r="F14">
        <v>0.56828000000000001</v>
      </c>
      <c r="G14" s="1">
        <f t="shared" si="0"/>
        <v>-1.8684165083750547E-2</v>
      </c>
      <c r="H14">
        <f>[1]test_program!$P$21</f>
        <v>0.56696172180277937</v>
      </c>
      <c r="I14" s="1">
        <f t="shared" si="1"/>
        <v>-2.0960590912140524E-2</v>
      </c>
      <c r="J14" s="3">
        <f t="shared" ref="J14:J15" si="24">N14*1000</f>
        <v>999</v>
      </c>
      <c r="K14">
        <f t="shared" ref="K14:K15" si="25">1/2/PI()*SQRT(9.8*1000/J14)</f>
        <v>0.49848308427572208</v>
      </c>
      <c r="L14" s="1">
        <f t="shared" si="4"/>
        <v>-0.13921069888495577</v>
      </c>
      <c r="M14" s="19">
        <v>556.6</v>
      </c>
      <c r="N14" s="20">
        <v>0.999</v>
      </c>
      <c r="O14">
        <v>8.0000000000000002E-3</v>
      </c>
      <c r="P14">
        <f t="shared" ref="P14" si="26">((E14*2*PI())^2-9.8/N14)/4*N14^2*M14</f>
        <v>476.26741349570142</v>
      </c>
      <c r="R14" s="25">
        <f t="shared" ref="R14" si="27">$A$31*M14*9.8*O14*(N14/O14)^$A$33</f>
        <v>432.87645924461077</v>
      </c>
      <c r="S14">
        <f t="shared" ref="S14:S15" si="28">SQRT(4*R14/N14^2/M14+9.8/(N14))/2/PI()</f>
        <v>0.57222572233995395</v>
      </c>
    </row>
    <row r="15" spans="1:19" x14ac:dyDescent="0.2">
      <c r="D15" t="s">
        <v>7</v>
      </c>
      <c r="E15">
        <v>0.57909999999999995</v>
      </c>
      <c r="F15">
        <v>0.57216999999999996</v>
      </c>
      <c r="G15" s="1">
        <f t="shared" si="0"/>
        <v>-1.1966845104472445E-2</v>
      </c>
      <c r="H15">
        <f>[1]test_program!$P$21</f>
        <v>0.56696172180277937</v>
      </c>
      <c r="I15" s="1">
        <f t="shared" si="1"/>
        <v>-2.0960590912140524E-2</v>
      </c>
      <c r="J15" s="3">
        <f t="shared" si="24"/>
        <v>999</v>
      </c>
      <c r="K15">
        <f t="shared" si="25"/>
        <v>0.49848308427572208</v>
      </c>
      <c r="L15" s="1">
        <f t="shared" si="4"/>
        <v>-0.13921069888495577</v>
      </c>
      <c r="M15" s="19">
        <v>556.6</v>
      </c>
      <c r="N15" s="20">
        <v>0.999</v>
      </c>
      <c r="O15">
        <v>8.0000000000000002E-3</v>
      </c>
      <c r="Q15">
        <f t="shared" ref="Q15" si="29">((E15*2*PI())^2-9.8/N15)/4*N15^2*M15</f>
        <v>476.26741349570142</v>
      </c>
      <c r="R15" s="25">
        <f t="shared" ref="R15" si="30">$A$41*M15*9.8*O15*(N15/O15)^$A$43</f>
        <v>432.87645924461077</v>
      </c>
      <c r="S15">
        <f t="shared" si="28"/>
        <v>0.57222572233995395</v>
      </c>
    </row>
    <row r="16" spans="1:19" x14ac:dyDescent="0.2">
      <c r="D16" t="s">
        <v>8</v>
      </c>
      <c r="E16">
        <v>0.71120000000000005</v>
      </c>
      <c r="F16">
        <v>0.68361000000000005</v>
      </c>
      <c r="G16" s="1">
        <f t="shared" si="0"/>
        <v>-3.8793588301462317E-2</v>
      </c>
      <c r="H16">
        <f>SQRT(H15^2*556/(256.85+1.62*50.1)*0.9^2)</f>
        <v>0.654436607292186</v>
      </c>
      <c r="I16" s="1">
        <f t="shared" si="1"/>
        <v>-7.981354430232572E-2</v>
      </c>
      <c r="K16">
        <f>SQRT(K15^2*556/(256.85+1.62*50.1)*0.9^2)</f>
        <v>0.57539259869015935</v>
      </c>
      <c r="L16" s="1">
        <f t="shared" si="4"/>
        <v>-0.19095528868087835</v>
      </c>
      <c r="M16" s="19">
        <v>556.6</v>
      </c>
      <c r="N16" s="20">
        <v>0.999</v>
      </c>
      <c r="R16" s="25"/>
    </row>
    <row r="17" spans="1:19" x14ac:dyDescent="0.2">
      <c r="C17" t="s">
        <v>20</v>
      </c>
      <c r="D17" t="s">
        <v>6</v>
      </c>
      <c r="E17">
        <v>0.56330000000000002</v>
      </c>
      <c r="F17">
        <v>0.56828000000000001</v>
      </c>
      <c r="G17" s="1">
        <f t="shared" si="0"/>
        <v>8.8407598082726503E-3</v>
      </c>
      <c r="H17">
        <f>[1]test_program!$P$21</f>
        <v>0.56696172180277937</v>
      </c>
      <c r="I17" s="1">
        <f t="shared" si="1"/>
        <v>6.5004825186922594E-3</v>
      </c>
      <c r="J17" s="3">
        <f t="shared" ref="J17:J18" si="31">N17*1000</f>
        <v>999</v>
      </c>
      <c r="K17">
        <f t="shared" ref="K17:K18" si="32">1/2/PI()*SQRT(9.8*1000/J17)</f>
        <v>0.49848308427572208</v>
      </c>
      <c r="L17" s="1">
        <f t="shared" si="4"/>
        <v>-0.11506642237578189</v>
      </c>
      <c r="M17" s="19">
        <v>556.6</v>
      </c>
      <c r="N17" s="20">
        <v>0.999</v>
      </c>
      <c r="O17">
        <v>8.0000000000000002E-3</v>
      </c>
      <c r="P17">
        <f t="shared" ref="P17" si="33">((E17*2*PI())^2-9.8/N17)/4*N17^2*M17</f>
        <v>377.30980179788713</v>
      </c>
      <c r="R17" s="25">
        <f t="shared" ref="R17" si="34">$A$31*M17*9.8*O17*(N17/O17)^$A$33</f>
        <v>432.87645924461077</v>
      </c>
      <c r="S17">
        <f t="shared" ref="S17:S18" si="35">SQRT(4*R17/N17^2/M17+9.8/(N17))/2/PI()</f>
        <v>0.57222572233995395</v>
      </c>
    </row>
    <row r="18" spans="1:19" x14ac:dyDescent="0.2">
      <c r="D18" t="s">
        <v>7</v>
      </c>
      <c r="E18">
        <v>0.56330000000000002</v>
      </c>
      <c r="F18">
        <v>0.57216999999999996</v>
      </c>
      <c r="G18" s="1">
        <f t="shared" si="0"/>
        <v>1.5746493875377122E-2</v>
      </c>
      <c r="H18">
        <f>[1]test_program!$P$21</f>
        <v>0.56696172180277937</v>
      </c>
      <c r="I18" s="1">
        <f t="shared" si="1"/>
        <v>6.5004825186922594E-3</v>
      </c>
      <c r="J18" s="3">
        <f t="shared" si="31"/>
        <v>999</v>
      </c>
      <c r="K18">
        <f t="shared" si="32"/>
        <v>0.49848308427572208</v>
      </c>
      <c r="L18" s="1">
        <f t="shared" si="4"/>
        <v>-0.11506642237578189</v>
      </c>
      <c r="M18" s="19">
        <v>556.6</v>
      </c>
      <c r="N18" s="20">
        <v>0.999</v>
      </c>
      <c r="O18">
        <v>8.0000000000000002E-3</v>
      </c>
      <c r="Q18">
        <f t="shared" ref="Q18" si="36">((E18*2*PI())^2-9.8/N18)/4*N18^2*M18</f>
        <v>377.30980179788713</v>
      </c>
      <c r="R18" s="25">
        <f t="shared" ref="R18" si="37">$A$41*M18*9.8*O18*(N18/O18)^$A$43</f>
        <v>432.87645924461077</v>
      </c>
      <c r="S18">
        <f t="shared" si="35"/>
        <v>0.57222572233995395</v>
      </c>
    </row>
    <row r="19" spans="1:19" x14ac:dyDescent="0.2">
      <c r="D19" t="s">
        <v>8</v>
      </c>
      <c r="E19">
        <v>0.66059999999999997</v>
      </c>
      <c r="F19">
        <v>0.68361000000000005</v>
      </c>
      <c r="G19" s="1">
        <f t="shared" si="0"/>
        <v>3.4831970935513303E-2</v>
      </c>
      <c r="H19">
        <f>SQRT(H18^2*556/(256.85+1.62*50.1)*0.9^2)</f>
        <v>0.654436607292186</v>
      </c>
      <c r="I19" s="1">
        <f t="shared" si="1"/>
        <v>-9.3299919888192012E-3</v>
      </c>
      <c r="K19">
        <f>SQRT(K18^2*556/(256.85+1.62*50.1)*0.9^2)</f>
        <v>0.57539259869015935</v>
      </c>
      <c r="L19" s="1">
        <f t="shared" si="4"/>
        <v>-0.12898486422924707</v>
      </c>
      <c r="M19" s="19">
        <v>556.6</v>
      </c>
      <c r="N19" s="20">
        <v>0.999</v>
      </c>
      <c r="R19" s="25"/>
    </row>
    <row r="20" spans="1:19" x14ac:dyDescent="0.2">
      <c r="B20" t="s">
        <v>21</v>
      </c>
      <c r="C20" t="s">
        <v>19</v>
      </c>
      <c r="D20" t="s">
        <v>6</v>
      </c>
      <c r="E20">
        <v>0.43459999999999999</v>
      </c>
      <c r="F20">
        <v>0.42842000000000002</v>
      </c>
      <c r="G20" s="1">
        <f t="shared" si="0"/>
        <v>-1.4219972388403045E-2</v>
      </c>
      <c r="H20">
        <f>[1]test_program!$P$22</f>
        <v>0.42863012928834543</v>
      </c>
      <c r="I20" s="1">
        <f t="shared" si="1"/>
        <v>-1.3736471955026593E-2</v>
      </c>
      <c r="J20" s="3">
        <f t="shared" ref="J20:J21" si="38">N20*1000</f>
        <v>1599</v>
      </c>
      <c r="K20">
        <f t="shared" ref="K20:K21" si="39">1/2/PI()*SQRT(9.8*1000/J20)</f>
        <v>0.39401153616864565</v>
      </c>
      <c r="L20" s="1">
        <f t="shared" si="4"/>
        <v>-9.3392691742646888E-2</v>
      </c>
      <c r="M20" s="19">
        <v>556.6</v>
      </c>
      <c r="N20" s="20">
        <v>1.599</v>
      </c>
      <c r="O20">
        <v>8.0000000000000002E-3</v>
      </c>
      <c r="P20">
        <f t="shared" ref="P20" si="40">((E20*2*PI())^2-9.8/N20)/4*N20^2*M20</f>
        <v>472.38213529506339</v>
      </c>
      <c r="R20" s="25">
        <f t="shared" ref="R20" si="41">$A$31*M20*9.8*O20*(N20/O20)^$A$33</f>
        <v>373.47365410841815</v>
      </c>
      <c r="S20">
        <f t="shared" ref="S20:S21" si="42">SQRT(4*R20/N20^2/M20+9.8/(N20))/2/PI()</f>
        <v>0.42642138584880879</v>
      </c>
    </row>
    <row r="21" spans="1:19" x14ac:dyDescent="0.2">
      <c r="D21" t="s">
        <v>7</v>
      </c>
      <c r="E21">
        <v>0.43459999999999999</v>
      </c>
      <c r="F21">
        <v>0.43004999999999999</v>
      </c>
      <c r="G21" s="1">
        <f t="shared" si="0"/>
        <v>-1.0469397146801654E-2</v>
      </c>
      <c r="H21">
        <f>[1]test_program!$P$22</f>
        <v>0.42863012928834543</v>
      </c>
      <c r="I21" s="1">
        <f t="shared" si="1"/>
        <v>-1.3736471955026593E-2</v>
      </c>
      <c r="J21" s="3">
        <f t="shared" si="38"/>
        <v>1599</v>
      </c>
      <c r="K21">
        <f t="shared" si="39"/>
        <v>0.39401153616864565</v>
      </c>
      <c r="L21" s="1">
        <f t="shared" si="4"/>
        <v>-9.3392691742646888E-2</v>
      </c>
      <c r="M21" s="19">
        <v>556.6</v>
      </c>
      <c r="N21" s="20">
        <v>1.599</v>
      </c>
      <c r="O21">
        <v>8.0000000000000002E-3</v>
      </c>
      <c r="Q21">
        <f t="shared" ref="Q21" si="43">((E21*2*PI())^2-9.8/N21)/4*N21^2*M21</f>
        <v>472.38213529506339</v>
      </c>
      <c r="R21" s="25">
        <f t="shared" ref="R21" si="44">$A$41*M21*9.8*O21*(N21/O21)^$A$43</f>
        <v>373.47365410841815</v>
      </c>
      <c r="S21">
        <f t="shared" si="42"/>
        <v>0.42642138584880879</v>
      </c>
    </row>
    <row r="22" spans="1:19" x14ac:dyDescent="0.2">
      <c r="D22" t="s">
        <v>8</v>
      </c>
      <c r="E22">
        <v>0.56540000000000001</v>
      </c>
      <c r="F22">
        <v>0.57862999999999998</v>
      </c>
      <c r="G22" s="1">
        <f t="shared" si="0"/>
        <v>2.3399363282631702E-2</v>
      </c>
      <c r="H22">
        <f>SQRT(H21^2*556/(256.85+1.62*50.1)*0.9^2)</f>
        <v>0.49476223315875489</v>
      </c>
      <c r="I22" s="1">
        <f>(H22-E22)/E22</f>
        <v>-0.12493414722540699</v>
      </c>
      <c r="K22">
        <f>SQRT(K21^2*556/(256.85+1.62*50.1)*0.9^2)</f>
        <v>0.45480243735729192</v>
      </c>
      <c r="L22" s="1">
        <f t="shared" si="4"/>
        <v>-0.19560941394182541</v>
      </c>
      <c r="M22" s="19">
        <v>556.6</v>
      </c>
      <c r="N22" s="20">
        <v>1.599</v>
      </c>
      <c r="R22" s="25"/>
    </row>
    <row r="23" spans="1:19" x14ac:dyDescent="0.2">
      <c r="C23" t="s">
        <v>20</v>
      </c>
      <c r="D23" t="s">
        <v>6</v>
      </c>
      <c r="E23">
        <v>0.43709999999999999</v>
      </c>
      <c r="F23">
        <v>0.42842000000000002</v>
      </c>
      <c r="G23" s="1">
        <f t="shared" si="0"/>
        <v>-1.9858156028368715E-2</v>
      </c>
      <c r="H23">
        <f>[1]test_program!$P$22</f>
        <v>0.42863012928834543</v>
      </c>
      <c r="I23" s="1">
        <f t="shared" si="1"/>
        <v>-1.9377420982966277E-2</v>
      </c>
      <c r="J23" s="3">
        <f t="shared" ref="J23:J24" si="45">N23*1000</f>
        <v>1599</v>
      </c>
      <c r="K23">
        <f t="shared" ref="K23:K24" si="46">1/2/PI()*SQRT(9.8*1000/J23)</f>
        <v>0.39401153616864565</v>
      </c>
      <c r="L23" s="1">
        <f t="shared" si="4"/>
        <v>-9.8578045827852526E-2</v>
      </c>
      <c r="M23" s="19">
        <v>556.6</v>
      </c>
      <c r="N23" s="20">
        <v>1.599</v>
      </c>
      <c r="O23">
        <v>8.0000000000000002E-3</v>
      </c>
      <c r="P23">
        <f t="shared" ref="P23" si="47">((E23*2*PI())^2-9.8/N23)/4*N23^2*M23</f>
        <v>502.99097940567077</v>
      </c>
      <c r="R23" s="25">
        <f t="shared" ref="R23" si="48">$A$31*M23*9.8*O23*(N23/O23)^$A$33</f>
        <v>373.47365410841815</v>
      </c>
      <c r="S23">
        <f t="shared" ref="S23:S24" si="49">SQRT(4*R23/N23^2/M23+9.8/(N23))/2/PI()</f>
        <v>0.42642138584880879</v>
      </c>
    </row>
    <row r="24" spans="1:19" x14ac:dyDescent="0.2">
      <c r="D24" t="s">
        <v>7</v>
      </c>
      <c r="E24">
        <v>0.43709999999999999</v>
      </c>
      <c r="F24">
        <v>0.43004999999999999</v>
      </c>
      <c r="G24" s="1">
        <f t="shared" si="0"/>
        <v>-1.6129032258064519E-2</v>
      </c>
      <c r="H24">
        <f>[1]test_program!$P$22</f>
        <v>0.42863012928834543</v>
      </c>
      <c r="I24" s="1">
        <f t="shared" si="1"/>
        <v>-1.9377420982966277E-2</v>
      </c>
      <c r="J24" s="3">
        <f t="shared" si="45"/>
        <v>1599</v>
      </c>
      <c r="K24">
        <f t="shared" si="46"/>
        <v>0.39401153616864565</v>
      </c>
      <c r="L24" s="1">
        <f t="shared" si="4"/>
        <v>-9.8578045827852526E-2</v>
      </c>
      <c r="M24" s="19">
        <v>556.6</v>
      </c>
      <c r="N24" s="20">
        <v>1.599</v>
      </c>
      <c r="O24">
        <v>8.0000000000000002E-3</v>
      </c>
      <c r="Q24">
        <f t="shared" ref="Q24" si="50">((E24*2*PI())^2-9.8/N24)/4*N24^2*M24</f>
        <v>502.99097940567077</v>
      </c>
      <c r="R24" s="25">
        <f t="shared" ref="R24" si="51">$A$41*M24*9.8*O24*(N24/O24)^$A$43</f>
        <v>373.47365410841815</v>
      </c>
      <c r="S24">
        <f t="shared" si="49"/>
        <v>0.42642138584880879</v>
      </c>
    </row>
    <row r="25" spans="1:19" x14ac:dyDescent="0.2">
      <c r="D25" t="s">
        <v>8</v>
      </c>
      <c r="E25">
        <v>0.56120000000000003</v>
      </c>
      <c r="F25">
        <v>0.57862999999999998</v>
      </c>
      <c r="G25" s="1">
        <f t="shared" si="0"/>
        <v>3.1058446186742597E-2</v>
      </c>
      <c r="H25">
        <f>SQRT(H24^2*556/(256.85+1.62*50.1)*0.9^2)</f>
        <v>0.49476223315875489</v>
      </c>
      <c r="I25" s="1">
        <f t="shared" si="1"/>
        <v>-0.11838518681618876</v>
      </c>
      <c r="K25">
        <f>SQRT(K24^2*556/(256.85+1.62*50.1)*0.9^2)</f>
        <v>0.45480243735729192</v>
      </c>
      <c r="L25" s="1">
        <f t="shared" si="4"/>
        <v>-0.18958938460924465</v>
      </c>
      <c r="M25" s="19">
        <v>556.6</v>
      </c>
      <c r="N25" s="20">
        <v>1.599</v>
      </c>
      <c r="R25" s="25"/>
    </row>
    <row r="26" spans="1:19" x14ac:dyDescent="0.2">
      <c r="B26" t="s">
        <v>13</v>
      </c>
      <c r="C26" t="s">
        <v>12</v>
      </c>
      <c r="D26" t="s">
        <v>6</v>
      </c>
      <c r="E26">
        <v>0.34210000000000002</v>
      </c>
      <c r="F26">
        <v>0.33389999999999997</v>
      </c>
      <c r="G26" s="1">
        <f t="shared" si="0"/>
        <v>-2.3969599532300614E-2</v>
      </c>
      <c r="H26">
        <f>[1]test_program!$P$23</f>
        <v>0.34568138969582196</v>
      </c>
      <c r="I26" s="1">
        <f t="shared" si="1"/>
        <v>1.0468838631458479E-2</v>
      </c>
      <c r="J26" s="3">
        <f t="shared" ref="J26:J27" si="52">N26*1000</f>
        <v>2338</v>
      </c>
      <c r="K26">
        <f t="shared" ref="K26:K27" si="53">1/2/PI()*SQRT(9.8*1000/J26)</f>
        <v>0.32584489107300413</v>
      </c>
      <c r="L26" s="1">
        <f t="shared" si="4"/>
        <v>-4.7515664796831003E-2</v>
      </c>
      <c r="M26" s="19">
        <v>556.6</v>
      </c>
      <c r="N26" s="20">
        <v>2.3380000000000001</v>
      </c>
      <c r="O26">
        <v>8.0000000000000002E-3</v>
      </c>
      <c r="P26">
        <f t="shared" ref="P26" si="54">((E26*2*PI())^2-9.8/N26)/4*N26^2*M26</f>
        <v>326.0336886801158</v>
      </c>
      <c r="R26" s="25">
        <f>$A$31*M26*9.8*O26*(N26/O26)^$A$33</f>
        <v>331.50051890211563</v>
      </c>
      <c r="S26">
        <f t="shared" ref="S26:S27" si="55">SQRT(4*R26/N26^2/M26+9.8/(N26))/2/PI()</f>
        <v>0.34236598169987792</v>
      </c>
    </row>
    <row r="27" spans="1:19" x14ac:dyDescent="0.2">
      <c r="D27" t="s">
        <v>7</v>
      </c>
      <c r="E27">
        <v>0.34210000000000002</v>
      </c>
      <c r="F27">
        <v>0.33438000000000001</v>
      </c>
      <c r="G27" s="1">
        <f t="shared" ref="G27:G49" si="56">(F27-E27)/E27</f>
        <v>-2.2566501023092676E-2</v>
      </c>
      <c r="H27">
        <f>[1]test_program!$P$23</f>
        <v>0.34568138969582196</v>
      </c>
      <c r="I27" s="1">
        <f t="shared" ref="I27:I49" si="57">(H27-E27)/E27</f>
        <v>1.0468838631458479E-2</v>
      </c>
      <c r="J27" s="3">
        <f t="shared" si="52"/>
        <v>2338</v>
      </c>
      <c r="K27">
        <f t="shared" si="53"/>
        <v>0.32584489107300413</v>
      </c>
      <c r="L27" s="1">
        <f t="shared" si="4"/>
        <v>-4.7515664796831003E-2</v>
      </c>
      <c r="M27" s="19">
        <v>556.6</v>
      </c>
      <c r="N27" s="20">
        <v>2.3380000000000001</v>
      </c>
      <c r="O27">
        <v>8.0000000000000002E-3</v>
      </c>
      <c r="Q27">
        <f t="shared" ref="Q27" si="58">((E27*2*PI())^2-9.8/N27)/4*N27^2*M27</f>
        <v>326.0336886801158</v>
      </c>
      <c r="R27" s="25">
        <f>$A$41*M27*9.8*O27*(N27/O27)^$A$43</f>
        <v>331.50051890211563</v>
      </c>
      <c r="S27">
        <f t="shared" si="55"/>
        <v>0.34236598169987792</v>
      </c>
    </row>
    <row r="28" spans="1:19" x14ac:dyDescent="0.2">
      <c r="D28" t="s">
        <v>8</v>
      </c>
      <c r="E28">
        <v>0.4118</v>
      </c>
      <c r="F28">
        <v>0.40032000000000001</v>
      </c>
      <c r="G28" s="1">
        <f t="shared" si="56"/>
        <v>-2.7877610490529361E-2</v>
      </c>
      <c r="H28">
        <f>SQRT(H27^2*556/(256.85+1.62*50.1)*0.9^2)</f>
        <v>0.39901557226340562</v>
      </c>
      <c r="I28" s="1">
        <f t="shared" si="57"/>
        <v>-3.1045234911593937E-2</v>
      </c>
      <c r="K28">
        <f>SQRT(K27^2*556/(256.85+1.62*50.1)*0.9^2)</f>
        <v>0.3761185575972395</v>
      </c>
      <c r="L28" s="1">
        <f t="shared" si="4"/>
        <v>-8.6647504620593729E-2</v>
      </c>
      <c r="M28" s="19">
        <v>556.6</v>
      </c>
      <c r="N28" s="20">
        <v>2.3380000000000001</v>
      </c>
      <c r="R28" s="25"/>
    </row>
    <row r="29" spans="1:19" x14ac:dyDescent="0.2">
      <c r="A29" s="23" t="s">
        <v>99</v>
      </c>
      <c r="C29" t="s">
        <v>14</v>
      </c>
      <c r="D29" t="s">
        <v>6</v>
      </c>
      <c r="E29">
        <v>0.34250000000000003</v>
      </c>
      <c r="F29">
        <v>0.33389999999999997</v>
      </c>
      <c r="G29" s="1">
        <f t="shared" si="56"/>
        <v>-2.510948905109504E-2</v>
      </c>
      <c r="H29">
        <f>[1]test_program!$P$23</f>
        <v>0.34568138969582196</v>
      </c>
      <c r="I29" s="1">
        <f t="shared" si="57"/>
        <v>9.2887290388961579E-3</v>
      </c>
      <c r="J29" s="3">
        <f t="shared" ref="J29:J30" si="59">N29*1000</f>
        <v>2338</v>
      </c>
      <c r="K29">
        <f t="shared" ref="K29:K30" si="60">1/2/PI()*SQRT(9.8*1000/J29)</f>
        <v>0.32584489107300413</v>
      </c>
      <c r="L29" s="1">
        <f t="shared" si="4"/>
        <v>-4.8628055261301886E-2</v>
      </c>
      <c r="M29" s="19">
        <v>556.6</v>
      </c>
      <c r="N29" s="20">
        <v>2.3380000000000001</v>
      </c>
      <c r="O29">
        <v>8.0000000000000002E-3</v>
      </c>
      <c r="P29">
        <f t="shared" ref="P29" si="61">((E29*2*PI())^2-9.8/N29)/4*N29^2*M29</f>
        <v>334.25666135644195</v>
      </c>
      <c r="R29" s="25">
        <f t="shared" ref="R29" si="62">$A$31*M29*9.8*O29*(N29/O29)^$A$33</f>
        <v>331.50051890211563</v>
      </c>
      <c r="S29">
        <f t="shared" ref="S29:S30" si="63">SQRT(4*R29/N29^2/M29+9.8/(N29))/2/PI()</f>
        <v>0.34236598169987792</v>
      </c>
    </row>
    <row r="30" spans="1:19" x14ac:dyDescent="0.2">
      <c r="A30" t="s">
        <v>19</v>
      </c>
      <c r="D30" t="s">
        <v>7</v>
      </c>
      <c r="E30">
        <v>0.34250000000000003</v>
      </c>
      <c r="F30">
        <v>0.33438000000000001</v>
      </c>
      <c r="G30" s="1">
        <f t="shared" si="56"/>
        <v>-2.3708029197080337E-2</v>
      </c>
      <c r="H30">
        <f>[1]test_program!$P$23</f>
        <v>0.34568138969582196</v>
      </c>
      <c r="I30" s="1">
        <f t="shared" si="57"/>
        <v>9.2887290388961579E-3</v>
      </c>
      <c r="J30" s="3">
        <f t="shared" si="59"/>
        <v>2338</v>
      </c>
      <c r="K30">
        <f t="shared" si="60"/>
        <v>0.32584489107300413</v>
      </c>
      <c r="L30" s="1">
        <f t="shared" si="4"/>
        <v>-4.8628055261301886E-2</v>
      </c>
      <c r="M30" s="19">
        <v>556.6</v>
      </c>
      <c r="N30" s="20">
        <v>2.3380000000000001</v>
      </c>
      <c r="O30">
        <v>8.0000000000000002E-3</v>
      </c>
      <c r="Q30">
        <f t="shared" ref="Q30" si="64">((E30*2*PI())^2-9.8/N30)/4*N30^2*M30</f>
        <v>334.25666135644195</v>
      </c>
      <c r="R30" s="25">
        <f t="shared" ref="R30" si="65">$A$41*M30*9.8*O30*(N30/O30)^$A$43</f>
        <v>331.50051890211563</v>
      </c>
      <c r="S30">
        <f t="shared" si="63"/>
        <v>0.34236598169987792</v>
      </c>
    </row>
    <row r="31" spans="1:19" x14ac:dyDescent="0.2">
      <c r="A31" s="24">
        <v>45.121000000000002</v>
      </c>
      <c r="D31" t="s">
        <v>8</v>
      </c>
      <c r="E31">
        <v>0.40350000000000003</v>
      </c>
      <c r="F31">
        <v>0.40032000000000001</v>
      </c>
      <c r="G31" s="1">
        <f t="shared" si="56"/>
        <v>-7.8810408921933476E-3</v>
      </c>
      <c r="H31">
        <f>SQRT(H30^2*556/(256.85+1.62*50.1)*0.9^2)</f>
        <v>0.39901557226340562</v>
      </c>
      <c r="I31" s="1">
        <f t="shared" si="57"/>
        <v>-1.1113823386851077E-2</v>
      </c>
      <c r="K31">
        <f>SQRT(K30^2*556/(256.85+1.62*50.1)*0.9^2)</f>
        <v>0.3761185575972395</v>
      </c>
      <c r="L31" s="1">
        <f t="shared" si="4"/>
        <v>-6.7859832472764614E-2</v>
      </c>
      <c r="M31" s="19">
        <v>556.6</v>
      </c>
      <c r="N31" s="20">
        <v>2.3380000000000001</v>
      </c>
      <c r="R31" s="25"/>
    </row>
    <row r="32" spans="1:19" x14ac:dyDescent="0.2">
      <c r="A32" t="s">
        <v>101</v>
      </c>
      <c r="C32" t="s">
        <v>15</v>
      </c>
      <c r="D32" t="s">
        <v>6</v>
      </c>
      <c r="E32">
        <v>0.33779999999999999</v>
      </c>
      <c r="F32">
        <v>0.33389999999999997</v>
      </c>
      <c r="G32" s="1">
        <f t="shared" si="56"/>
        <v>-1.15452930728242E-2</v>
      </c>
      <c r="H32">
        <f>[1]test_program!$P$23</f>
        <v>0.34568138969582196</v>
      </c>
      <c r="I32" s="1">
        <f t="shared" si="57"/>
        <v>2.3331526630615666E-2</v>
      </c>
      <c r="J32" s="3">
        <f t="shared" ref="J32:J33" si="66">N32*1000</f>
        <v>2338</v>
      </c>
      <c r="K32">
        <f t="shared" ref="K32:K33" si="67">1/2/PI()*SQRT(9.8*1000/J32)</f>
        <v>0.32584489107300413</v>
      </c>
      <c r="L32" s="1">
        <f t="shared" si="4"/>
        <v>-3.5391086225565013E-2</v>
      </c>
      <c r="M32" s="19">
        <v>556.6</v>
      </c>
      <c r="N32" s="20">
        <v>2.3380000000000001</v>
      </c>
      <c r="O32">
        <v>8.0000000000000002E-3</v>
      </c>
      <c r="P32">
        <f t="shared" ref="P32" si="68">((E32*2*PI())^2-9.8/N32)/4*N32^2*M32</f>
        <v>238.24360605038291</v>
      </c>
      <c r="R32" s="25">
        <f t="shared" ref="R32" si="69">$A$31*M32*9.8*O32*(N32/O32)^$A$33</f>
        <v>331.50051890211563</v>
      </c>
      <c r="S32">
        <f t="shared" ref="S32:S33" si="70">SQRT(4*R32/N32^2/M32+9.8/(N32))/2/PI()</f>
        <v>0.34236598169987792</v>
      </c>
    </row>
    <row r="33" spans="1:19" x14ac:dyDescent="0.2">
      <c r="A33">
        <v>-0.31380000000000002</v>
      </c>
      <c r="D33" t="s">
        <v>7</v>
      </c>
      <c r="E33">
        <v>0.33779999999999999</v>
      </c>
      <c r="F33">
        <v>0.33438000000000001</v>
      </c>
      <c r="G33" s="1">
        <f t="shared" si="56"/>
        <v>-1.0124333925399583E-2</v>
      </c>
      <c r="H33">
        <f>[1]test_program!$P$23</f>
        <v>0.34568138969582196</v>
      </c>
      <c r="I33" s="1">
        <f t="shared" si="57"/>
        <v>2.3331526630615666E-2</v>
      </c>
      <c r="J33" s="3">
        <f t="shared" si="66"/>
        <v>2338</v>
      </c>
      <c r="K33">
        <f t="shared" si="67"/>
        <v>0.32584489107300413</v>
      </c>
      <c r="L33" s="1">
        <f t="shared" si="4"/>
        <v>-3.5391086225565013E-2</v>
      </c>
      <c r="M33" s="19">
        <v>556.6</v>
      </c>
      <c r="N33" s="20">
        <v>2.3380000000000001</v>
      </c>
      <c r="O33">
        <v>8.0000000000000002E-3</v>
      </c>
      <c r="Q33">
        <f t="shared" ref="Q33" si="71">((E33*2*PI())^2-9.8/N33)/4*N33^2*M33</f>
        <v>238.24360605038291</v>
      </c>
      <c r="R33" s="25">
        <f t="shared" ref="R33" si="72">$A$41*M33*9.8*O33*(N33/O33)^$A$43</f>
        <v>331.50051890211563</v>
      </c>
      <c r="S33">
        <f t="shared" si="70"/>
        <v>0.34236598169987792</v>
      </c>
    </row>
    <row r="34" spans="1:19" x14ac:dyDescent="0.2">
      <c r="D34" t="s">
        <v>8</v>
      </c>
      <c r="E34">
        <v>0.40389999999999998</v>
      </c>
      <c r="F34">
        <v>0.40032000000000001</v>
      </c>
      <c r="G34" s="1">
        <f t="shared" si="56"/>
        <v>-8.8635800940826247E-3</v>
      </c>
      <c r="H34">
        <f>SQRT(H33^2*556/(256.85+1.62*50.1)*0.9^2)</f>
        <v>0.39901557226340562</v>
      </c>
      <c r="I34" s="1">
        <f t="shared" si="57"/>
        <v>-1.2093161021526036E-2</v>
      </c>
      <c r="K34">
        <f>SQRT(K33^2*556/(256.85+1.62*50.1)*0.9^2)</f>
        <v>0.3761185575972395</v>
      </c>
      <c r="L34" s="1">
        <f t="shared" si="4"/>
        <v>-6.8782972029612491E-2</v>
      </c>
      <c r="M34" s="19">
        <v>556.6</v>
      </c>
      <c r="N34" s="20">
        <v>2.3380000000000001</v>
      </c>
      <c r="R34" s="25"/>
    </row>
    <row r="35" spans="1:19" x14ac:dyDescent="0.2">
      <c r="C35" t="s">
        <v>16</v>
      </c>
      <c r="D35" t="s">
        <v>6</v>
      </c>
      <c r="E35">
        <v>0.3412</v>
      </c>
      <c r="F35">
        <v>0.33389999999999997</v>
      </c>
      <c r="G35" s="1">
        <f t="shared" si="56"/>
        <v>-2.1395076201641348E-2</v>
      </c>
      <c r="H35">
        <f>[1]test_program!$P$23</f>
        <v>0.34568138969582196</v>
      </c>
      <c r="I35" s="1">
        <f t="shared" si="57"/>
        <v>1.3134201922104214E-2</v>
      </c>
      <c r="J35" s="3">
        <f t="shared" ref="J35:J36" si="73">N35*1000</f>
        <v>2338</v>
      </c>
      <c r="K35">
        <f t="shared" ref="K35:K36" si="74">1/2/PI()*SQRT(9.8*1000/J35)</f>
        <v>0.32584489107300413</v>
      </c>
      <c r="L35" s="1">
        <f t="shared" si="4"/>
        <v>-4.5003250079120385E-2</v>
      </c>
      <c r="M35" s="19">
        <v>556.6</v>
      </c>
      <c r="N35" s="20">
        <v>2.3380000000000001</v>
      </c>
      <c r="O35">
        <v>8.0000000000000002E-3</v>
      </c>
      <c r="P35">
        <f t="shared" ref="P35" si="75">((E35*2*PI())^2-9.8/N35)/4*N35^2*M35</f>
        <v>307.56713336767064</v>
      </c>
      <c r="R35" s="25">
        <f t="shared" ref="R35" si="76">$A$31*M35*9.8*O35*(N35/O35)^$A$33</f>
        <v>331.50051890211563</v>
      </c>
      <c r="S35">
        <f t="shared" ref="S35:S36" si="77">SQRT(4*R35/N35^2/M35+9.8/(N35))/2/PI()</f>
        <v>0.34236598169987792</v>
      </c>
    </row>
    <row r="36" spans="1:19" x14ac:dyDescent="0.2">
      <c r="D36" t="s">
        <v>7</v>
      </c>
      <c r="E36">
        <v>0.3412</v>
      </c>
      <c r="F36">
        <v>0.33438000000000001</v>
      </c>
      <c r="G36" s="1">
        <f t="shared" si="56"/>
        <v>-1.9988276670574422E-2</v>
      </c>
      <c r="H36">
        <f>[1]test_program!$P$23</f>
        <v>0.34568138969582196</v>
      </c>
      <c r="I36" s="1">
        <f t="shared" si="57"/>
        <v>1.3134201922104214E-2</v>
      </c>
      <c r="J36" s="3">
        <f t="shared" si="73"/>
        <v>2338</v>
      </c>
      <c r="K36">
        <f t="shared" si="74"/>
        <v>0.32584489107300413</v>
      </c>
      <c r="L36" s="1">
        <f t="shared" si="4"/>
        <v>-4.5003250079120385E-2</v>
      </c>
      <c r="M36" s="19">
        <v>556.6</v>
      </c>
      <c r="N36" s="20">
        <v>2.3380000000000001</v>
      </c>
      <c r="O36">
        <v>8.0000000000000002E-3</v>
      </c>
      <c r="Q36">
        <f t="shared" ref="Q36" si="78">((E36*2*PI())^2-9.8/N36)/4*N36^2*M36</f>
        <v>307.56713336767064</v>
      </c>
      <c r="R36" s="25">
        <f t="shared" ref="R36" si="79">$A$41*M36*9.8*O36*(N36/O36)^$A$43</f>
        <v>331.50051890211563</v>
      </c>
      <c r="S36">
        <f t="shared" si="77"/>
        <v>0.34236598169987792</v>
      </c>
    </row>
    <row r="37" spans="1:19" x14ac:dyDescent="0.2">
      <c r="D37" t="s">
        <v>8</v>
      </c>
      <c r="E37">
        <v>0.39939999999999998</v>
      </c>
      <c r="F37">
        <v>0.40032000000000001</v>
      </c>
      <c r="G37" s="1">
        <f t="shared" si="56"/>
        <v>2.3034551827742413E-3</v>
      </c>
      <c r="H37">
        <f>SQRT(H36^2*556/(256.85+1.62*50.1)*0.9^2)</f>
        <v>0.39901557226340562</v>
      </c>
      <c r="I37" s="1">
        <f t="shared" si="57"/>
        <v>-9.6251311115263291E-4</v>
      </c>
      <c r="K37">
        <f>SQRT(K36^2*556/(256.85+1.62*50.1)*0.9^2)</f>
        <v>0.3761185575972395</v>
      </c>
      <c r="L37" s="1">
        <f t="shared" si="4"/>
        <v>-5.8291042570757332E-2</v>
      </c>
      <c r="M37" s="19">
        <v>556.6</v>
      </c>
      <c r="N37" s="20">
        <v>2.3380000000000001</v>
      </c>
      <c r="R37" s="25"/>
    </row>
    <row r="38" spans="1:19" x14ac:dyDescent="0.2">
      <c r="B38" t="s">
        <v>17</v>
      </c>
      <c r="C38" t="s">
        <v>12</v>
      </c>
      <c r="D38" t="s">
        <v>6</v>
      </c>
      <c r="E38">
        <v>0.33939999999999998</v>
      </c>
      <c r="F38">
        <v>0.33451999999999998</v>
      </c>
      <c r="G38" s="1">
        <f t="shared" si="56"/>
        <v>-1.4378314672952256E-2</v>
      </c>
      <c r="H38">
        <f>[1]test_program!$P$24</f>
        <v>0.34568138969582196</v>
      </c>
      <c r="I38" s="1">
        <f t="shared" si="57"/>
        <v>1.8507335579911556E-2</v>
      </c>
      <c r="J38" s="3">
        <f t="shared" ref="J38:J39" si="80">N38*1000</f>
        <v>2338</v>
      </c>
      <c r="K38">
        <f t="shared" ref="K38:K39" si="81">1/2/PI()*SQRT(9.8*1000/J38)</f>
        <v>0.32584489107300413</v>
      </c>
      <c r="L38" s="1">
        <f t="shared" si="4"/>
        <v>-3.9938447044772694E-2</v>
      </c>
      <c r="M38" s="19">
        <v>556.6</v>
      </c>
      <c r="N38" s="20">
        <v>2.3380000000000001</v>
      </c>
      <c r="O38">
        <v>8.0000000000000002E-3</v>
      </c>
      <c r="P38">
        <f>((E38*2*PI())^2-9.8/N38)/4*N38^2*M38</f>
        <v>270.7799606890498</v>
      </c>
      <c r="R38" s="25">
        <f t="shared" ref="R38" si="82">$A$31*M38*9.8*O38*(N38/O38)^$A$33</f>
        <v>331.50051890211563</v>
      </c>
      <c r="S38">
        <f t="shared" ref="S38:S39" si="83">SQRT(4*R38/N38^2/M38+9.8/(N38))/2/PI()</f>
        <v>0.34236598169987792</v>
      </c>
    </row>
    <row r="39" spans="1:19" x14ac:dyDescent="0.2">
      <c r="A39" s="23" t="s">
        <v>100</v>
      </c>
      <c r="D39" t="s">
        <v>7</v>
      </c>
      <c r="E39">
        <v>0.33939999999999998</v>
      </c>
      <c r="F39">
        <v>0.33484000000000003</v>
      </c>
      <c r="G39" s="1">
        <f t="shared" si="56"/>
        <v>-1.3435474366529032E-2</v>
      </c>
      <c r="H39">
        <f>[1]test_program!$P$24</f>
        <v>0.34568138969582196</v>
      </c>
      <c r="I39" s="1">
        <f t="shared" si="57"/>
        <v>1.8507335579911556E-2</v>
      </c>
      <c r="J39" s="3">
        <f t="shared" si="80"/>
        <v>2338</v>
      </c>
      <c r="K39">
        <f t="shared" si="81"/>
        <v>0.32584489107300413</v>
      </c>
      <c r="L39" s="1">
        <f t="shared" si="4"/>
        <v>-3.9938447044772694E-2</v>
      </c>
      <c r="M39" s="19">
        <v>556.6</v>
      </c>
      <c r="N39" s="20">
        <v>2.3380000000000001</v>
      </c>
      <c r="O39">
        <v>8.0000000000000002E-3</v>
      </c>
      <c r="Q39">
        <f t="shared" ref="Q39" si="84">((E39*2*PI())^2-9.8/N39)/4*N39^2*M39</f>
        <v>270.7799606890498</v>
      </c>
      <c r="R39" s="25">
        <f t="shared" ref="R39" si="85">$A$41*M39*9.8*O39*(N39/O39)^$A$43</f>
        <v>331.50051890211563</v>
      </c>
      <c r="S39">
        <f t="shared" si="83"/>
        <v>0.34236598169987792</v>
      </c>
    </row>
    <row r="40" spans="1:19" x14ac:dyDescent="0.2">
      <c r="A40" t="s">
        <v>19</v>
      </c>
      <c r="D40" t="s">
        <v>8</v>
      </c>
      <c r="E40">
        <v>0.41089999999999999</v>
      </c>
      <c r="F40">
        <v>0.40132000000000001</v>
      </c>
      <c r="G40" s="1">
        <f t="shared" si="56"/>
        <v>-2.3314675103431437E-2</v>
      </c>
      <c r="H40">
        <f>SQRT(H39^2*556/(256.85+1.62*50.1)*0.9^2)</f>
        <v>0.39901557226340562</v>
      </c>
      <c r="I40" s="1">
        <f t="shared" si="57"/>
        <v>-2.8922919777547754E-2</v>
      </c>
      <c r="K40">
        <f>SQRT(K39^2*556/(256.85+1.62*50.1)*0.9^2)</f>
        <v>0.3761185575972395</v>
      </c>
      <c r="L40" s="1">
        <f t="shared" si="4"/>
        <v>-8.4646975913264755E-2</v>
      </c>
      <c r="M40" s="19">
        <v>556.6</v>
      </c>
      <c r="N40" s="20">
        <v>2.3380000000000001</v>
      </c>
      <c r="R40" s="25"/>
    </row>
    <row r="41" spans="1:19" x14ac:dyDescent="0.2">
      <c r="A41" s="24">
        <v>45.121000000000002</v>
      </c>
      <c r="C41" t="s">
        <v>14</v>
      </c>
      <c r="D41" t="s">
        <v>6</v>
      </c>
      <c r="E41">
        <v>0.33650000000000002</v>
      </c>
      <c r="F41">
        <v>0.33451999999999998</v>
      </c>
      <c r="G41" s="1">
        <f t="shared" si="56"/>
        <v>-5.8841010401189811E-3</v>
      </c>
      <c r="H41">
        <f>[1]test_program!$P$24</f>
        <v>0.34568138969582196</v>
      </c>
      <c r="I41" s="1">
        <f t="shared" si="57"/>
        <v>2.7284961948950786E-2</v>
      </c>
      <c r="J41" s="3">
        <f t="shared" ref="J41:J42" si="86">N41*1000</f>
        <v>2338</v>
      </c>
      <c r="K41">
        <f t="shared" ref="K41:K42" si="87">1/2/PI()*SQRT(9.8*1000/J41)</f>
        <v>0.32584489107300413</v>
      </c>
      <c r="L41" s="1">
        <f t="shared" si="4"/>
        <v>-3.1664513898947672E-2</v>
      </c>
      <c r="M41" s="19">
        <v>556.6</v>
      </c>
      <c r="N41" s="20">
        <v>2.3380000000000001</v>
      </c>
      <c r="O41">
        <v>8.0000000000000002E-3</v>
      </c>
      <c r="P41">
        <f t="shared" ref="P41" si="88">((E41*2*PI())^2-9.8/N41)/4*N41^2*M41</f>
        <v>211.92102491417032</v>
      </c>
      <c r="R41" s="25">
        <f t="shared" ref="R41" si="89">$A$31*M41*9.8*O41*(N41/O41)^$A$33</f>
        <v>331.50051890211563</v>
      </c>
      <c r="S41">
        <f t="shared" ref="S41:S42" si="90">SQRT(4*R41/N41^2/M41+9.8/(N41))/2/PI()</f>
        <v>0.34236598169987792</v>
      </c>
    </row>
    <row r="42" spans="1:19" x14ac:dyDescent="0.2">
      <c r="A42" t="s">
        <v>101</v>
      </c>
      <c r="D42" t="s">
        <v>7</v>
      </c>
      <c r="E42">
        <v>0.33650000000000002</v>
      </c>
      <c r="F42">
        <v>0.33484000000000003</v>
      </c>
      <c r="G42" s="1">
        <f t="shared" si="56"/>
        <v>-4.9331352154531787E-3</v>
      </c>
      <c r="H42">
        <f>[1]test_program!$P$24</f>
        <v>0.34568138969582196</v>
      </c>
      <c r="I42" s="1">
        <f t="shared" si="57"/>
        <v>2.7284961948950786E-2</v>
      </c>
      <c r="J42" s="3">
        <f t="shared" si="86"/>
        <v>2338</v>
      </c>
      <c r="K42">
        <f t="shared" si="87"/>
        <v>0.32584489107300413</v>
      </c>
      <c r="L42" s="1">
        <f t="shared" si="4"/>
        <v>-3.1664513898947672E-2</v>
      </c>
      <c r="M42" s="19">
        <v>556.6</v>
      </c>
      <c r="N42" s="20">
        <v>2.3380000000000001</v>
      </c>
      <c r="O42">
        <v>8.0000000000000002E-3</v>
      </c>
      <c r="Q42">
        <f t="shared" ref="Q42" si="91">((E42*2*PI())^2-9.8/N42)/4*N42^2*M42</f>
        <v>211.92102491417032</v>
      </c>
      <c r="R42" s="25">
        <f t="shared" ref="R42" si="92">$A$41*M42*9.8*O42*(N42/O42)^$A$43</f>
        <v>331.50051890211563</v>
      </c>
      <c r="S42">
        <f t="shared" si="90"/>
        <v>0.34236598169987792</v>
      </c>
    </row>
    <row r="43" spans="1:19" x14ac:dyDescent="0.2">
      <c r="A43">
        <v>-0.31380000000000002</v>
      </c>
      <c r="D43" t="s">
        <v>8</v>
      </c>
      <c r="E43">
        <v>0.41199999999999998</v>
      </c>
      <c r="F43">
        <v>0.40132000000000001</v>
      </c>
      <c r="G43" s="1">
        <f t="shared" si="56"/>
        <v>-2.59223300970873E-2</v>
      </c>
      <c r="H43">
        <f>SQRT(H42^2*556/(256.85+1.62*50.1)*0.9^2)</f>
        <v>0.39901557226340562</v>
      </c>
      <c r="I43" s="1">
        <f t="shared" si="57"/>
        <v>-3.1515601302413501E-2</v>
      </c>
      <c r="K43">
        <f>SQRT(K42^2*556/(256.85+1.62*50.1)*0.9^2)</f>
        <v>0.3761185575972395</v>
      </c>
      <c r="L43" s="1">
        <f t="shared" si="4"/>
        <v>-8.7090879618350672E-2</v>
      </c>
      <c r="M43" s="19">
        <v>556.6</v>
      </c>
      <c r="N43" s="20">
        <v>2.3380000000000001</v>
      </c>
      <c r="R43" s="25"/>
    </row>
    <row r="44" spans="1:19" x14ac:dyDescent="0.2">
      <c r="C44" t="s">
        <v>15</v>
      </c>
      <c r="D44" t="s">
        <v>6</v>
      </c>
      <c r="E44">
        <v>0.33729999999999999</v>
      </c>
      <c r="F44">
        <v>0.33451999999999998</v>
      </c>
      <c r="G44" s="1">
        <f t="shared" si="56"/>
        <v>-8.2419211384524311E-3</v>
      </c>
      <c r="H44">
        <f>[1]test_program!$P$24</f>
        <v>0.34568138969582196</v>
      </c>
      <c r="I44" s="1">
        <f t="shared" si="57"/>
        <v>2.4848472267482873E-2</v>
      </c>
      <c r="J44" s="3">
        <f t="shared" ref="J44:J45" si="93">N44*1000</f>
        <v>2338</v>
      </c>
      <c r="K44">
        <f t="shared" ref="K44:K45" si="94">1/2/PI()*SQRT(9.8*1000/J44)</f>
        <v>0.32584489107300413</v>
      </c>
      <c r="L44" s="1">
        <f t="shared" si="4"/>
        <v>-3.3961188636216603E-2</v>
      </c>
      <c r="M44" s="19">
        <v>556.6</v>
      </c>
      <c r="N44" s="20">
        <v>2.3380000000000001</v>
      </c>
      <c r="O44">
        <v>8.0000000000000002E-3</v>
      </c>
      <c r="P44">
        <f t="shared" ref="P44" si="95">((E44*2*PI())^2-9.8/N44)/4*N44^2*M44</f>
        <v>228.10752502900573</v>
      </c>
      <c r="R44" s="25">
        <f t="shared" ref="R44" si="96">$A$31*M44*9.8*O44*(N44/O44)^$A$33</f>
        <v>331.50051890211563</v>
      </c>
      <c r="S44">
        <f t="shared" ref="S44:S45" si="97">SQRT(4*R44/N44^2/M44+9.8/(N44))/2/PI()</f>
        <v>0.34236598169987792</v>
      </c>
    </row>
    <row r="45" spans="1:19" x14ac:dyDescent="0.2">
      <c r="D45" t="s">
        <v>7</v>
      </c>
      <c r="E45">
        <v>0.33729999999999999</v>
      </c>
      <c r="F45">
        <v>0.33484000000000003</v>
      </c>
      <c r="G45" s="1">
        <f t="shared" si="56"/>
        <v>-7.2932107915800841E-3</v>
      </c>
      <c r="H45">
        <f>[1]test_program!$P$24</f>
        <v>0.34568138969582196</v>
      </c>
      <c r="I45" s="1">
        <f t="shared" si="57"/>
        <v>2.4848472267482873E-2</v>
      </c>
      <c r="J45" s="3">
        <f t="shared" si="93"/>
        <v>2338</v>
      </c>
      <c r="K45">
        <f t="shared" si="94"/>
        <v>0.32584489107300413</v>
      </c>
      <c r="L45" s="1">
        <f t="shared" si="4"/>
        <v>-3.3961188636216603E-2</v>
      </c>
      <c r="M45" s="19">
        <v>556.6</v>
      </c>
      <c r="N45" s="20">
        <v>2.3380000000000001</v>
      </c>
      <c r="O45">
        <v>8.0000000000000002E-3</v>
      </c>
      <c r="Q45">
        <f t="shared" ref="Q45" si="98">((E45*2*PI())^2-9.8/N45)/4*N45^2*M45</f>
        <v>228.10752502900573</v>
      </c>
      <c r="R45" s="25">
        <f t="shared" ref="R45" si="99">$A$41*M45*9.8*O45*(N45/O45)^$A$43</f>
        <v>331.50051890211563</v>
      </c>
      <c r="S45">
        <f t="shared" si="97"/>
        <v>0.34236598169987792</v>
      </c>
    </row>
    <row r="46" spans="1:19" x14ac:dyDescent="0.2">
      <c r="D46" t="s">
        <v>8</v>
      </c>
      <c r="E46">
        <v>0.4178</v>
      </c>
      <c r="F46">
        <v>0.40132000000000001</v>
      </c>
      <c r="G46" s="1">
        <f t="shared" si="56"/>
        <v>-3.9444710387745323E-2</v>
      </c>
      <c r="H46">
        <f>SQRT(H45^2*556/(256.85+1.62*50.1)*0.9^2)</f>
        <v>0.39901557226340562</v>
      </c>
      <c r="I46" s="1">
        <f t="shared" si="57"/>
        <v>-4.49603344581005E-2</v>
      </c>
      <c r="K46">
        <f>SQRT(K45^2*556/(256.85+1.62*50.1)*0.9^2)</f>
        <v>0.3761185575972395</v>
      </c>
      <c r="L46" s="1">
        <f t="shared" si="4"/>
        <v>-9.9764103405362625E-2</v>
      </c>
      <c r="M46" s="19">
        <v>556.6</v>
      </c>
      <c r="N46" s="20">
        <v>2.3380000000000001</v>
      </c>
      <c r="R46" s="25"/>
    </row>
    <row r="47" spans="1:19" x14ac:dyDescent="0.2">
      <c r="C47" t="s">
        <v>16</v>
      </c>
      <c r="D47" t="s">
        <v>6</v>
      </c>
      <c r="E47">
        <v>0.33739999999999998</v>
      </c>
      <c r="F47">
        <v>0.33451999999999998</v>
      </c>
      <c r="G47" s="1">
        <f t="shared" si="56"/>
        <v>-8.5358624777711733E-3</v>
      </c>
      <c r="H47">
        <f>[1]test_program!$P$24</f>
        <v>0.34568138969582196</v>
      </c>
      <c r="I47" s="1">
        <f t="shared" si="57"/>
        <v>2.454472346123884E-2</v>
      </c>
      <c r="J47" s="3">
        <f t="shared" ref="J47:J48" si="100">N47*1000</f>
        <v>2338</v>
      </c>
      <c r="K47">
        <f t="shared" ref="K47:K48" si="101">1/2/PI()*SQRT(9.8*1000/J47)</f>
        <v>0.32584489107300413</v>
      </c>
      <c r="L47" s="1">
        <f t="shared" si="4"/>
        <v>-3.4247507193230144E-2</v>
      </c>
      <c r="M47" s="19">
        <v>556.6</v>
      </c>
      <c r="N47" s="20">
        <v>2.3380000000000001</v>
      </c>
      <c r="O47">
        <v>8.0000000000000002E-3</v>
      </c>
      <c r="P47">
        <f t="shared" ref="P47" si="102">((E47*2*PI())^2-9.8/N47)/4*N47^2*M47</f>
        <v>230.13354009792073</v>
      </c>
      <c r="R47" s="25">
        <f t="shared" ref="R47" si="103">$A$31*M47*9.8*O47*(N47/O47)^$A$33</f>
        <v>331.50051890211563</v>
      </c>
      <c r="S47">
        <f t="shared" ref="S47:S48" si="104">SQRT(4*R47/N47^2/M47+9.8/(N47))/2/PI()</f>
        <v>0.34236598169987792</v>
      </c>
    </row>
    <row r="48" spans="1:19" x14ac:dyDescent="0.2">
      <c r="D48" t="s">
        <v>7</v>
      </c>
      <c r="E48">
        <v>0.33739999999999998</v>
      </c>
      <c r="F48">
        <v>0.33484000000000003</v>
      </c>
      <c r="G48" s="1">
        <f t="shared" si="56"/>
        <v>-7.5874333135742484E-3</v>
      </c>
      <c r="H48">
        <f>[1]test_program!$P$24</f>
        <v>0.34568138969582196</v>
      </c>
      <c r="I48" s="1">
        <f t="shared" si="57"/>
        <v>2.454472346123884E-2</v>
      </c>
      <c r="J48" s="3">
        <f t="shared" si="100"/>
        <v>2338</v>
      </c>
      <c r="K48">
        <f t="shared" si="101"/>
        <v>0.32584489107300413</v>
      </c>
      <c r="L48" s="1">
        <f t="shared" si="4"/>
        <v>-3.4247507193230144E-2</v>
      </c>
      <c r="M48" s="19">
        <v>556.6</v>
      </c>
      <c r="N48" s="20">
        <v>2.3380000000000001</v>
      </c>
      <c r="O48">
        <v>8.0000000000000002E-3</v>
      </c>
      <c r="Q48">
        <f t="shared" ref="Q48" si="105">((E48*2*PI())^2-9.8/N48)/4*N48^2*M48</f>
        <v>230.13354009792073</v>
      </c>
      <c r="R48" s="25">
        <f t="shared" ref="R48" si="106">$A$41*M48*9.8*O48*(N48/O48)^$A$43</f>
        <v>331.50051890211563</v>
      </c>
      <c r="S48">
        <f t="shared" si="104"/>
        <v>0.34236598169987792</v>
      </c>
    </row>
    <row r="49" spans="4:18" x14ac:dyDescent="0.2">
      <c r="D49" t="s">
        <v>8</v>
      </c>
      <c r="E49">
        <v>0.42349999999999999</v>
      </c>
      <c r="F49">
        <v>0.40132000000000001</v>
      </c>
      <c r="G49" s="1">
        <f t="shared" si="56"/>
        <v>-5.2373081463990501E-2</v>
      </c>
      <c r="H49">
        <f>SQRT(H48^2*556/(256.85+1.62*50.1)*0.9^2)</f>
        <v>0.39901557226340562</v>
      </c>
      <c r="I49" s="1">
        <f t="shared" si="57"/>
        <v>-5.7814469271769475E-2</v>
      </c>
      <c r="K49">
        <f>SQRT(K48^2*556/(256.85+1.62*50.1)*0.9^2)</f>
        <v>0.3761185575972395</v>
      </c>
      <c r="L49" s="1">
        <f t="shared" si="4"/>
        <v>-0.11188061960510151</v>
      </c>
      <c r="M49" s="19">
        <v>556.6</v>
      </c>
      <c r="N49" s="20">
        <v>2.3380000000000001</v>
      </c>
      <c r="R49" s="25"/>
    </row>
    <row r="52" spans="4:18" x14ac:dyDescent="0.2">
      <c r="O52" s="4"/>
    </row>
    <row r="55" spans="4:18" x14ac:dyDescent="0.2">
      <c r="O55" s="4"/>
    </row>
    <row r="58" spans="4:18" x14ac:dyDescent="0.2">
      <c r="O58" s="4"/>
    </row>
    <row r="61" spans="4:18" x14ac:dyDescent="0.2">
      <c r="O61" s="4"/>
    </row>
    <row r="64" spans="4:18" x14ac:dyDescent="0.2">
      <c r="O64" s="4"/>
    </row>
    <row r="67" spans="15:15" x14ac:dyDescent="0.2">
      <c r="O67" s="4"/>
    </row>
    <row r="70" spans="15:15" x14ac:dyDescent="0.2">
      <c r="O70" s="4"/>
    </row>
    <row r="73" spans="15:15" x14ac:dyDescent="0.2">
      <c r="O73" s="4"/>
    </row>
  </sheetData>
  <phoneticPr fontId="1" type="noConversion"/>
  <conditionalFormatting sqref="G2:G49">
    <cfRule type="cellIs" dxfId="22" priority="2" operator="between">
      <formula>-0.1</formula>
      <formula>0.1</formula>
    </cfRule>
  </conditionalFormatting>
  <conditionalFormatting sqref="I2:I49">
    <cfRule type="cellIs" dxfId="21" priority="1" operator="between">
      <formula>-0.1</formula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2470-7576-4D13-B231-B27CDDDB7113}">
  <sheetPr codeName="Sheet2"/>
  <dimension ref="A1:S97"/>
  <sheetViews>
    <sheetView zoomScale="205" zoomScaleNormal="205" workbookViewId="0">
      <selection activeCell="S3" sqref="S3"/>
    </sheetView>
  </sheetViews>
  <sheetFormatPr defaultRowHeight="14.25" x14ac:dyDescent="0.2"/>
  <cols>
    <col min="1" max="1" width="13" bestFit="1" customWidth="1"/>
    <col min="2" max="2" width="16.5" bestFit="1" customWidth="1"/>
    <col min="7" max="7" width="11" style="1" bestFit="1" customWidth="1"/>
    <col min="9" max="9" width="11" bestFit="1" customWidth="1"/>
    <col min="10" max="10" width="9" style="8"/>
    <col min="12" max="12" width="11" bestFit="1" customWidth="1"/>
    <col min="15" max="15" width="8.75" customWidth="1"/>
    <col min="18" max="18" width="10.375" style="25" bestFit="1" customWidth="1"/>
  </cols>
  <sheetData>
    <row r="1" spans="1:19" ht="25.5" x14ac:dyDescent="0.2">
      <c r="A1" t="s">
        <v>0</v>
      </c>
      <c r="B1" t="s">
        <v>11</v>
      </c>
      <c r="C1" t="s">
        <v>10</v>
      </c>
      <c r="D1" t="s">
        <v>5</v>
      </c>
      <c r="E1" t="s">
        <v>1</v>
      </c>
      <c r="F1" t="s">
        <v>2</v>
      </c>
      <c r="G1" s="1" t="s">
        <v>25</v>
      </c>
      <c r="H1" t="s">
        <v>3</v>
      </c>
      <c r="I1" t="s">
        <v>25</v>
      </c>
      <c r="J1" s="8" t="s">
        <v>24</v>
      </c>
      <c r="K1" t="s">
        <v>4</v>
      </c>
      <c r="L1" t="s">
        <v>26</v>
      </c>
      <c r="M1" t="s">
        <v>87</v>
      </c>
      <c r="N1" t="s">
        <v>86</v>
      </c>
      <c r="O1" t="s">
        <v>98</v>
      </c>
      <c r="P1" s="18" t="s">
        <v>85</v>
      </c>
      <c r="Q1" s="18" t="s">
        <v>84</v>
      </c>
      <c r="S1" t="s">
        <v>88</v>
      </c>
    </row>
    <row r="2" spans="1:19" x14ac:dyDescent="0.2">
      <c r="A2" s="22" t="s">
        <v>27</v>
      </c>
      <c r="B2" t="s">
        <v>28</v>
      </c>
      <c r="C2" t="s">
        <v>19</v>
      </c>
      <c r="D2" t="s">
        <v>6</v>
      </c>
      <c r="E2">
        <v>0.46820000000000001</v>
      </c>
      <c r="F2">
        <v>0.47720000000000001</v>
      </c>
      <c r="G2" s="1">
        <f t="shared" ref="G2:G26" si="0">(F2-E2)/E2</f>
        <v>1.9222554463904331E-2</v>
      </c>
      <c r="H2">
        <f>[1]test_program!$Q$5</f>
        <v>0.49808602544631114</v>
      </c>
      <c r="I2" s="1">
        <f>(H2-E2)/E2</f>
        <v>6.3831750205705126E-2</v>
      </c>
      <c r="J2" s="2">
        <f>N2*1000</f>
        <v>1168</v>
      </c>
      <c r="K2">
        <f>1/2/PI()*SQRT(9.8*1000/J2)</f>
        <v>0.46101148836059574</v>
      </c>
      <c r="L2" s="1">
        <f>(K2-E2)/E2</f>
        <v>-1.5353506278095386E-2</v>
      </c>
      <c r="M2" s="19">
        <v>417.74</v>
      </c>
      <c r="N2" s="21">
        <v>1.1679999999999999</v>
      </c>
      <c r="O2">
        <v>8.0000000000000002E-3</v>
      </c>
      <c r="P2">
        <f>((E2*2*PI())^2-9.8/N2)/2*N2^2*M2</f>
        <v>75.140665966394479</v>
      </c>
      <c r="R2" s="25">
        <f>$A$31*M2*9.8*O2*(N2/O2)^$A$33</f>
        <v>35.280848463654863</v>
      </c>
      <c r="S2">
        <f>SQRT(2*R2/N2^2/M2+9.8/(N2))/2/PI()</f>
        <v>0.4644005726981969</v>
      </c>
    </row>
    <row r="3" spans="1:19" x14ac:dyDescent="0.2">
      <c r="A3" s="22" t="s">
        <v>89</v>
      </c>
      <c r="D3" t="s">
        <v>7</v>
      </c>
      <c r="E3">
        <v>0.6099</v>
      </c>
      <c r="F3">
        <v>0.64607999999999999</v>
      </c>
      <c r="G3" s="1">
        <f t="shared" si="0"/>
        <v>5.9321200196753548E-2</v>
      </c>
      <c r="H3">
        <f>[1]test_program!$P$5</f>
        <v>0.69235564810367745</v>
      </c>
      <c r="I3" s="1">
        <f t="shared" ref="I3:I26" si="1">(H3-E3)/E3</f>
        <v>0.13519535678582956</v>
      </c>
      <c r="J3" s="2">
        <f>N3*1000</f>
        <v>778</v>
      </c>
      <c r="K3">
        <f>1/2/PI()*SQRT(9.8*1000/J3)</f>
        <v>0.56486331572749759</v>
      </c>
      <c r="L3" s="1">
        <f>(K3-E3)/E3</f>
        <v>-7.3842735321368091E-2</v>
      </c>
      <c r="M3" s="19">
        <v>417.74</v>
      </c>
      <c r="N3" s="21">
        <v>0.77800000000000002</v>
      </c>
      <c r="O3">
        <v>8.0000000000000002E-3</v>
      </c>
      <c r="Q3">
        <f>((E3*2*PI())^2-9.8/N3)/4*N3^2*M3</f>
        <v>132.03278594866865</v>
      </c>
      <c r="R3" s="25">
        <f>$A$41*M3*9.8*O3*(N3/O3)^$A$43</f>
        <v>92.531023498256062</v>
      </c>
      <c r="S3">
        <f>SQRT(4*R3/N3^2/M3+9.8/(N3))/2/PI()</f>
        <v>0.59678227452105936</v>
      </c>
    </row>
    <row r="4" spans="1:19" x14ac:dyDescent="0.2">
      <c r="A4" s="22">
        <v>-61.374099999999999</v>
      </c>
      <c r="D4" t="s">
        <v>8</v>
      </c>
      <c r="E4">
        <v>0.69650000000000001</v>
      </c>
      <c r="F4">
        <v>0.73602999999999996</v>
      </c>
      <c r="G4" s="1">
        <f t="shared" si="0"/>
        <v>5.6755204594400505E-2</v>
      </c>
      <c r="H4">
        <f>[1]test_program!$W$5</f>
        <v>0.79505368359243311</v>
      </c>
      <c r="I4" s="1">
        <f t="shared" si="1"/>
        <v>0.14149846890514445</v>
      </c>
      <c r="K4">
        <f>SQRT(K3^2*388/256.85*0.85^2)</f>
        <v>0.59011733775090258</v>
      </c>
      <c r="L4" s="1">
        <f>(K4-E4)/E4</f>
        <v>-0.15273892641650744</v>
      </c>
      <c r="M4" s="19">
        <v>417.74</v>
      </c>
      <c r="N4" s="20"/>
    </row>
    <row r="5" spans="1:19" x14ac:dyDescent="0.2">
      <c r="A5" s="22" t="s">
        <v>90</v>
      </c>
      <c r="C5" t="s">
        <v>20</v>
      </c>
      <c r="D5" t="s">
        <v>6</v>
      </c>
      <c r="E5">
        <v>0.4677</v>
      </c>
      <c r="F5">
        <v>0.47720000000000001</v>
      </c>
      <c r="G5" s="1">
        <f t="shared" si="0"/>
        <v>2.031216591832373E-2</v>
      </c>
      <c r="H5">
        <f>[1]test_program!$Q$5</f>
        <v>0.49808602544631114</v>
      </c>
      <c r="I5" s="1">
        <f t="shared" si="1"/>
        <v>6.496905162777665E-2</v>
      </c>
      <c r="J5" s="2">
        <f t="shared" ref="J5:J6" si="2">N5*1000</f>
        <v>1168</v>
      </c>
      <c r="K5">
        <f t="shared" ref="K5:K6" si="3">1/2/PI()*SQRT(9.8*1000/J5)</f>
        <v>0.46101148836059574</v>
      </c>
      <c r="L5" s="1">
        <f t="shared" ref="L5:L68" si="4">(K5-E5)/E5</f>
        <v>-1.4300858754338806E-2</v>
      </c>
      <c r="M5" s="19">
        <v>417.74</v>
      </c>
      <c r="N5" s="21">
        <v>1.1679999999999999</v>
      </c>
      <c r="O5">
        <v>8.0000000000000002E-3</v>
      </c>
      <c r="P5">
        <f t="shared" ref="P5" si="5">((E5*2*PI())^2-9.8/N5)/2*N5^2*M5</f>
        <v>69.876604634573724</v>
      </c>
      <c r="R5" s="25">
        <f t="shared" ref="R5" si="6">$A$31*M5*9.8*O5*(N5/O5)^$A$33</f>
        <v>35.280848463654863</v>
      </c>
      <c r="S5">
        <f t="shared" ref="S5" si="7">SQRT(2*R5/N5^2/M5+9.8/(N5))/2/PI()</f>
        <v>0.4644005726981969</v>
      </c>
    </row>
    <row r="6" spans="1:19" x14ac:dyDescent="0.2">
      <c r="A6" s="22">
        <v>981.65650000000005</v>
      </c>
      <c r="D6" t="s">
        <v>7</v>
      </c>
      <c r="E6">
        <v>0.60950000000000004</v>
      </c>
      <c r="F6">
        <v>0.64607999999999999</v>
      </c>
      <c r="G6" s="1">
        <f t="shared" si="0"/>
        <v>6.0016406890894082E-2</v>
      </c>
      <c r="H6">
        <f>[1]test_program!$P$5</f>
        <v>0.69235564810367745</v>
      </c>
      <c r="I6" s="1">
        <f t="shared" si="1"/>
        <v>0.13594035784032388</v>
      </c>
      <c r="J6" s="2">
        <f t="shared" si="2"/>
        <v>778</v>
      </c>
      <c r="K6">
        <f t="shared" si="3"/>
        <v>0.56486331572749759</v>
      </c>
      <c r="L6" s="1">
        <f t="shared" si="4"/>
        <v>-7.323492087367095E-2</v>
      </c>
      <c r="M6" s="19">
        <v>417.74</v>
      </c>
      <c r="N6" s="21">
        <v>0.77800000000000002</v>
      </c>
      <c r="O6">
        <v>8.0000000000000002E-3</v>
      </c>
      <c r="Q6">
        <f t="shared" ref="Q6" si="8">((E6*2*PI())^2-9.8/N6)/4*N6^2*M6</f>
        <v>130.81556005110846</v>
      </c>
      <c r="R6" s="25">
        <f t="shared" ref="R6" si="9">$A$41*M6*9.8*O6*(N6/O6)^$A$43</f>
        <v>92.531023498256062</v>
      </c>
      <c r="S6">
        <f t="shared" ref="S6" si="10">SQRT(4*R6/N6^2/M6+9.8/(N6))/2/PI()</f>
        <v>0.59678227452105936</v>
      </c>
    </row>
    <row r="7" spans="1:19" x14ac:dyDescent="0.2">
      <c r="A7" s="22" t="s">
        <v>91</v>
      </c>
      <c r="D7" t="s">
        <v>8</v>
      </c>
      <c r="E7">
        <v>0.69620000000000004</v>
      </c>
      <c r="F7">
        <v>0.73602999999999996</v>
      </c>
      <c r="G7" s="1">
        <f t="shared" si="0"/>
        <v>5.7210571674805977E-2</v>
      </c>
      <c r="H7">
        <f>[1]test_program!$W$5</f>
        <v>0.79505368359243311</v>
      </c>
      <c r="I7" s="1">
        <f t="shared" si="1"/>
        <v>0.14199035276132299</v>
      </c>
      <c r="K7">
        <f t="shared" ref="K7" si="11">SQRT(K6^2*388/256.85*0.85^2)</f>
        <v>0.59011733775090258</v>
      </c>
      <c r="L7" s="1">
        <f t="shared" si="4"/>
        <v>-0.15237383258991302</v>
      </c>
      <c r="M7" s="19">
        <v>417.74</v>
      </c>
      <c r="N7" s="20"/>
    </row>
    <row r="8" spans="1:19" x14ac:dyDescent="0.2">
      <c r="A8" s="22">
        <v>12432.3534</v>
      </c>
      <c r="B8" t="s">
        <v>29</v>
      </c>
      <c r="C8" t="s">
        <v>19</v>
      </c>
      <c r="D8" t="s">
        <v>6</v>
      </c>
      <c r="E8">
        <v>0.36909999999999998</v>
      </c>
      <c r="F8">
        <v>0.38436999999999999</v>
      </c>
      <c r="G8" s="1">
        <f t="shared" si="0"/>
        <v>4.1370902194527243E-2</v>
      </c>
      <c r="H8">
        <f>[1]test_program!$Q$6</f>
        <v>0.39487256307240148</v>
      </c>
      <c r="I8" s="1">
        <f t="shared" si="1"/>
        <v>6.9825421491198858E-2</v>
      </c>
      <c r="J8" s="2">
        <f t="shared" ref="J8:J9" si="12">N8*1000</f>
        <v>1768</v>
      </c>
      <c r="K8">
        <f t="shared" ref="K8:K9" si="13">1/2/PI()*SQRT(9.8*1000/J8)</f>
        <v>0.37470720086782278</v>
      </c>
      <c r="L8" s="1">
        <f t="shared" si="4"/>
        <v>1.5191549357417483E-2</v>
      </c>
      <c r="M8" s="19">
        <v>417.74</v>
      </c>
      <c r="N8" s="21">
        <v>1.768</v>
      </c>
      <c r="O8">
        <v>8.0000000000000002E-3</v>
      </c>
      <c r="P8">
        <f t="shared" ref="P8" si="14">((E8*2*PI())^2-9.8/N8)/2*N8^2*M8</f>
        <v>-107.49959238125383</v>
      </c>
      <c r="R8" s="25">
        <f t="shared" ref="R8" si="15">$A$31*M8*9.8*O8*(N8/O8)^$A$33</f>
        <v>62.451563994815544</v>
      </c>
      <c r="S8">
        <f t="shared" ref="S8" si="16">SQRT(2*R8/N8^2/M8+9.8/(N8))/2/PI()</f>
        <v>0.37792648524341543</v>
      </c>
    </row>
    <row r="9" spans="1:19" x14ac:dyDescent="0.2">
      <c r="A9" s="22" t="s">
        <v>95</v>
      </c>
      <c r="D9" t="s">
        <v>7</v>
      </c>
      <c r="E9">
        <v>0.44569999999999999</v>
      </c>
      <c r="F9">
        <v>0.46257999999999999</v>
      </c>
      <c r="G9" s="1">
        <f t="shared" si="0"/>
        <v>3.7873008750280469E-2</v>
      </c>
      <c r="H9">
        <f>[1]test_program!$P$6</f>
        <v>0.48086923677114951</v>
      </c>
      <c r="I9" s="1">
        <f t="shared" si="1"/>
        <v>7.8907868007963941E-2</v>
      </c>
      <c r="J9" s="2">
        <f t="shared" si="12"/>
        <v>1378</v>
      </c>
      <c r="K9">
        <f t="shared" si="13"/>
        <v>0.42443243065119507</v>
      </c>
      <c r="L9" s="1">
        <f t="shared" si="4"/>
        <v>-4.7717229860455276E-2</v>
      </c>
      <c r="M9" s="19">
        <v>417.74</v>
      </c>
      <c r="N9" s="21">
        <v>1.3779999999999999</v>
      </c>
      <c r="O9">
        <v>8.0000000000000002E-3</v>
      </c>
      <c r="Q9">
        <f t="shared" ref="Q9" si="17">((E9*2*PI())^2-9.8/N9)/4*N9^2*M9</f>
        <v>144.87967266192425</v>
      </c>
      <c r="R9" s="25">
        <f t="shared" ref="R9" si="18">$A$41*M9*9.8*O9*(N9/O9)^$A$43</f>
        <v>145.2853254385212</v>
      </c>
      <c r="S9">
        <f t="shared" ref="S9" si="19">SQRT(4*R9/N9^2/M9+9.8/(N9))/2/PI()</f>
        <v>0.44575812316610547</v>
      </c>
    </row>
    <row r="10" spans="1:19" x14ac:dyDescent="0.2">
      <c r="A10" s="22">
        <v>-3.1396000000000002</v>
      </c>
      <c r="D10" t="s">
        <v>8</v>
      </c>
      <c r="E10">
        <v>0.48480000000000001</v>
      </c>
      <c r="F10">
        <v>0.53498000000000001</v>
      </c>
      <c r="G10" s="1">
        <f t="shared" si="0"/>
        <v>0.10350660066006601</v>
      </c>
      <c r="H10">
        <f>[1]test_program!$W$6</f>
        <v>0.55219721117077381</v>
      </c>
      <c r="I10" s="1">
        <f t="shared" si="1"/>
        <v>0.13902065010473141</v>
      </c>
      <c r="K10">
        <f t="shared" ref="K10" si="20">SQRT(K9^2*388/256.85*0.85^2)</f>
        <v>0.4434080405955369</v>
      </c>
      <c r="L10" s="1">
        <f t="shared" si="4"/>
        <v>-8.5379454217126866E-2</v>
      </c>
      <c r="M10" s="19">
        <v>417.74</v>
      </c>
      <c r="N10" s="20"/>
    </row>
    <row r="11" spans="1:19" x14ac:dyDescent="0.2">
      <c r="A11" s="22" t="s">
        <v>96</v>
      </c>
      <c r="C11" t="s">
        <v>20</v>
      </c>
      <c r="D11" t="s">
        <v>6</v>
      </c>
      <c r="E11">
        <v>0.37040000000000001</v>
      </c>
      <c r="F11">
        <v>0.38436999999999999</v>
      </c>
      <c r="G11" s="1">
        <f t="shared" si="0"/>
        <v>3.7715982721382241E-2</v>
      </c>
      <c r="H11">
        <f>[1]test_program!$Q$6</f>
        <v>0.39487256307240148</v>
      </c>
      <c r="I11" s="1">
        <f t="shared" si="1"/>
        <v>6.6070634644712412E-2</v>
      </c>
      <c r="J11" s="2">
        <f t="shared" ref="J11:J12" si="21">N11*1000</f>
        <v>1768</v>
      </c>
      <c r="K11">
        <f t="shared" ref="K11:K12" si="22">1/2/PI()*SQRT(9.8*1000/J11)</f>
        <v>0.37470720086782278</v>
      </c>
      <c r="L11" s="1">
        <f t="shared" si="4"/>
        <v>1.1628512062156504E-2</v>
      </c>
      <c r="M11" s="19">
        <v>417.74</v>
      </c>
      <c r="N11" s="21">
        <v>1.768</v>
      </c>
      <c r="O11">
        <v>8.0000000000000002E-3</v>
      </c>
      <c r="P11">
        <f t="shared" ref="P11" si="23">((E11*2*PI())^2-9.8/N11)/2*N11^2*M11</f>
        <v>-82.720701941129889</v>
      </c>
      <c r="R11" s="25">
        <f t="shared" ref="R11" si="24">$A$31*M11*9.8*O11*(N11/O11)^$A$33</f>
        <v>62.451563994815544</v>
      </c>
      <c r="S11">
        <f t="shared" ref="S11" si="25">SQRT(2*R11/N11^2/M11+9.8/(N11))/2/PI()</f>
        <v>0.37792648524341543</v>
      </c>
    </row>
    <row r="12" spans="1:19" x14ac:dyDescent="0.2">
      <c r="A12" s="22">
        <v>7.7499999999999999E-2</v>
      </c>
      <c r="D12" t="s">
        <v>7</v>
      </c>
      <c r="E12">
        <v>0.4496</v>
      </c>
      <c r="F12">
        <v>0.46257999999999999</v>
      </c>
      <c r="G12" s="1">
        <f t="shared" si="0"/>
        <v>2.8870106761565817E-2</v>
      </c>
      <c r="H12">
        <f>[1]test_program!$P$6</f>
        <v>0.48086923677114951</v>
      </c>
      <c r="I12" s="1">
        <f t="shared" si="1"/>
        <v>6.9549014170706205E-2</v>
      </c>
      <c r="J12" s="2">
        <f t="shared" si="21"/>
        <v>1378</v>
      </c>
      <c r="K12">
        <f t="shared" si="22"/>
        <v>0.42443243065119507</v>
      </c>
      <c r="L12" s="1">
        <f t="shared" si="4"/>
        <v>-5.5977689832751178E-2</v>
      </c>
      <c r="M12" s="19">
        <v>417.74</v>
      </c>
      <c r="N12" s="21">
        <v>1.3779999999999999</v>
      </c>
      <c r="O12">
        <v>8.0000000000000002E-3</v>
      </c>
      <c r="Q12">
        <f t="shared" ref="Q12" si="26">((E12*2*PI())^2-9.8/N12)/4*N12^2*M12</f>
        <v>172.2158280485917</v>
      </c>
      <c r="R12" s="25">
        <f t="shared" ref="R12" si="27">$A$41*M12*9.8*O12*(N12/O12)^$A$43</f>
        <v>145.2853254385212</v>
      </c>
      <c r="S12">
        <f t="shared" ref="S12" si="28">SQRT(4*R12/N12^2/M12+9.8/(N12))/2/PI()</f>
        <v>0.44575812316610547</v>
      </c>
    </row>
    <row r="13" spans="1:19" x14ac:dyDescent="0.2">
      <c r="A13" s="22" t="s">
        <v>97</v>
      </c>
      <c r="D13" t="s">
        <v>8</v>
      </c>
      <c r="E13">
        <v>0.48499999999999999</v>
      </c>
      <c r="F13">
        <v>0.53498000000000001</v>
      </c>
      <c r="G13" s="1">
        <f t="shared" si="0"/>
        <v>0.10305154639175262</v>
      </c>
      <c r="H13">
        <f>[1]test_program!$W$6</f>
        <v>0.55219721117077381</v>
      </c>
      <c r="I13" s="1">
        <f t="shared" si="1"/>
        <v>0.13855095086757488</v>
      </c>
      <c r="K13">
        <f t="shared" ref="K13" si="29">SQRT(K12^2*388/256.85*0.85^2)</f>
        <v>0.4434080405955369</v>
      </c>
      <c r="L13" s="1">
        <f t="shared" si="4"/>
        <v>-8.5756617328789864E-2</v>
      </c>
      <c r="M13" s="19">
        <v>417.74</v>
      </c>
      <c r="N13" s="20"/>
    </row>
    <row r="14" spans="1:19" x14ac:dyDescent="0.2">
      <c r="A14" s="22">
        <v>100.4752</v>
      </c>
      <c r="B14" t="s">
        <v>30</v>
      </c>
      <c r="C14" t="s">
        <v>19</v>
      </c>
      <c r="D14" t="s">
        <v>6</v>
      </c>
      <c r="E14">
        <v>0.42559999999999998</v>
      </c>
      <c r="F14">
        <v>0.43662000000000001</v>
      </c>
      <c r="G14" s="1">
        <f t="shared" si="0"/>
        <v>2.5892857142857214E-2</v>
      </c>
      <c r="H14">
        <f>[1]test_program!$Q$7</f>
        <v>0.44251975661707288</v>
      </c>
      <c r="I14" s="1">
        <f>(H14-E14)/E14</f>
        <v>3.9755067239363021E-2</v>
      </c>
      <c r="J14" s="2">
        <f t="shared" ref="J14:J15" si="30">N14*1000</f>
        <v>1428</v>
      </c>
      <c r="K14">
        <f t="shared" ref="K14:K15" si="31">1/2/PI()*SQRT(9.8*1000/J14)</f>
        <v>0.41693568340002535</v>
      </c>
      <c r="L14" s="1">
        <f t="shared" si="4"/>
        <v>-2.0357886748060695E-2</v>
      </c>
      <c r="M14" s="19">
        <v>451.94</v>
      </c>
      <c r="N14">
        <v>1.4279999999999999</v>
      </c>
      <c r="O14">
        <v>8.0000000000000002E-3</v>
      </c>
      <c r="P14">
        <f t="shared" ref="P14" si="32">((E14*2*PI())^2-9.8/N14)/2*N14^2*M14</f>
        <v>132.79739439657499</v>
      </c>
      <c r="R14" s="25">
        <f t="shared" ref="R14" si="33">$A$31*M14*9.8*O14*(N14/O14)^$A$33</f>
        <v>50.344186729063679</v>
      </c>
      <c r="S14">
        <f t="shared" ref="S14" si="34">SQRT(2*R14/N14^2/M14+9.8/(N14))/2/PI()</f>
        <v>0.420241395770237</v>
      </c>
    </row>
    <row r="15" spans="1:19" x14ac:dyDescent="0.2">
      <c r="A15" s="22"/>
      <c r="D15" t="s">
        <v>7</v>
      </c>
      <c r="E15">
        <v>0.56279999999999997</v>
      </c>
      <c r="F15">
        <v>0.55879999999999996</v>
      </c>
      <c r="G15" s="1">
        <f t="shared" si="0"/>
        <v>-7.1073205401563679E-3</v>
      </c>
      <c r="H15">
        <f>[1]test_program!$P$7</f>
        <v>0.56778531258366449</v>
      </c>
      <c r="I15" s="1">
        <f t="shared" si="1"/>
        <v>8.8580536312447139E-3</v>
      </c>
      <c r="J15" s="2">
        <f t="shared" si="30"/>
        <v>1038</v>
      </c>
      <c r="K15">
        <f t="shared" si="31"/>
        <v>0.4890288633747607</v>
      </c>
      <c r="L15" s="1">
        <f t="shared" si="4"/>
        <v>-0.13107877865181106</v>
      </c>
      <c r="M15" s="19">
        <v>451.94</v>
      </c>
      <c r="N15">
        <v>1.038</v>
      </c>
      <c r="O15">
        <v>8.0000000000000002E-3</v>
      </c>
      <c r="Q15">
        <f t="shared" ref="Q15" si="35">((E15*2*PI())^2-9.8/N15)/4*N15^2*M15</f>
        <v>372.91237258947086</v>
      </c>
      <c r="R15" s="25">
        <f t="shared" ref="R15" si="36">$A$41*M15*9.8*O15*(N15/O15)^$A$43</f>
        <v>125.68514146695162</v>
      </c>
      <c r="S15">
        <f t="shared" ref="S15" si="37">SQRT(4*R15/N15^2/M15+9.8/(N15))/2/PI()</f>
        <v>0.51507422558497862</v>
      </c>
    </row>
    <row r="16" spans="1:19" x14ac:dyDescent="0.2">
      <c r="A16" s="22" t="s">
        <v>92</v>
      </c>
      <c r="D16" t="s">
        <v>8</v>
      </c>
      <c r="E16">
        <v>0.59899999999999998</v>
      </c>
      <c r="F16">
        <v>0.64010999999999996</v>
      </c>
      <c r="G16" s="1">
        <f t="shared" si="0"/>
        <v>6.8631051752921501E-2</v>
      </c>
      <c r="H16">
        <f>[1]test_program!$W$7</f>
        <v>0.6781702404622737</v>
      </c>
      <c r="I16" s="1">
        <f t="shared" si="1"/>
        <v>0.13217068524586598</v>
      </c>
      <c r="K16">
        <f>SQRT(K15^2*422.2/256.85*0.85^2)</f>
        <v>0.53293316525836087</v>
      </c>
      <c r="L16" s="1">
        <f t="shared" si="4"/>
        <v>-0.11029521659706028</v>
      </c>
      <c r="M16" s="19">
        <v>451.94</v>
      </c>
      <c r="N16" s="20"/>
    </row>
    <row r="17" spans="1:19" x14ac:dyDescent="0.2">
      <c r="A17" s="22">
        <v>-156.53540000000001</v>
      </c>
      <c r="C17" t="s">
        <v>20</v>
      </c>
      <c r="D17" t="s">
        <v>6</v>
      </c>
      <c r="E17">
        <v>0.4224</v>
      </c>
      <c r="F17">
        <v>0.43662000000000001</v>
      </c>
      <c r="G17" s="1">
        <f t="shared" si="0"/>
        <v>3.3664772727272751E-2</v>
      </c>
      <c r="H17">
        <f>[1]test_program!$Q$7</f>
        <v>0.44251975661707288</v>
      </c>
      <c r="I17" s="1">
        <f t="shared" si="1"/>
        <v>4.7631999566933904E-2</v>
      </c>
      <c r="J17" s="2">
        <f t="shared" ref="J17:J18" si="38">N17*1000</f>
        <v>1428</v>
      </c>
      <c r="K17">
        <f t="shared" ref="K17:K18" si="39">1/2/PI()*SQRT(9.8*1000/J17)</f>
        <v>0.41693568340002535</v>
      </c>
      <c r="L17" s="1">
        <f t="shared" si="4"/>
        <v>-1.2936355587061198E-2</v>
      </c>
      <c r="M17" s="19">
        <v>451.94</v>
      </c>
      <c r="N17">
        <v>1.4279999999999999</v>
      </c>
      <c r="O17">
        <v>8.0000000000000002E-3</v>
      </c>
      <c r="P17">
        <f t="shared" ref="P17" si="40">((E17*2*PI())^2-9.8/N17)/2*N17^2*M17</f>
        <v>83.433118856120899</v>
      </c>
      <c r="R17" s="25">
        <f t="shared" ref="R17" si="41">$A$31*M17*9.8*O17*(N17/O17)^$A$33</f>
        <v>50.344186729063679</v>
      </c>
      <c r="S17">
        <f t="shared" ref="S17" si="42">SQRT(2*R17/N17^2/M17+9.8/(N17))/2/PI()</f>
        <v>0.420241395770237</v>
      </c>
    </row>
    <row r="18" spans="1:19" x14ac:dyDescent="0.2">
      <c r="A18" s="22" t="s">
        <v>93</v>
      </c>
      <c r="D18" t="s">
        <v>7</v>
      </c>
      <c r="E18">
        <v>0.52939999999999998</v>
      </c>
      <c r="F18">
        <v>0.55879999999999996</v>
      </c>
      <c r="G18" s="1">
        <f t="shared" si="0"/>
        <v>5.5534567434831851E-2</v>
      </c>
      <c r="H18">
        <f>[1]test_program!$P$7</f>
        <v>0.56778531258366449</v>
      </c>
      <c r="I18" s="1">
        <f t="shared" si="1"/>
        <v>7.250720170695979E-2</v>
      </c>
      <c r="J18" s="2">
        <f t="shared" si="38"/>
        <v>1038</v>
      </c>
      <c r="K18">
        <f t="shared" si="39"/>
        <v>0.4890288633747607</v>
      </c>
      <c r="L18" s="1">
        <f t="shared" si="4"/>
        <v>-7.6258286031808231E-2</v>
      </c>
      <c r="M18" s="19">
        <v>451.94</v>
      </c>
      <c r="N18">
        <v>1.038</v>
      </c>
      <c r="O18">
        <v>8.0000000000000002E-3</v>
      </c>
      <c r="Q18">
        <f t="shared" ref="Q18" si="43">((E18*2*PI())^2-9.8/N18)/4*N18^2*M18</f>
        <v>197.59543627440038</v>
      </c>
      <c r="R18" s="25">
        <f t="shared" ref="R18" si="44">$A$41*M18*9.8*O18*(N18/O18)^$A$43</f>
        <v>125.68514146695162</v>
      </c>
      <c r="S18">
        <f t="shared" ref="S18" si="45">SQRT(4*R18/N18^2/M18+9.8/(N18))/2/PI()</f>
        <v>0.51507422558497862</v>
      </c>
    </row>
    <row r="19" spans="1:19" x14ac:dyDescent="0.2">
      <c r="A19" s="22">
        <v>4200.5456999999997</v>
      </c>
      <c r="D19" t="s">
        <v>8</v>
      </c>
      <c r="E19">
        <v>0.57120000000000004</v>
      </c>
      <c r="F19">
        <v>0.64010999999999996</v>
      </c>
      <c r="G19" s="1">
        <f t="shared" si="0"/>
        <v>0.12064075630252086</v>
      </c>
      <c r="H19">
        <f>[1]test_program!$W$7</f>
        <v>0.6781702404622737</v>
      </c>
      <c r="I19" s="1">
        <f t="shared" si="1"/>
        <v>0.18727282994095526</v>
      </c>
      <c r="K19">
        <f>SQRT(K18^2*422.2/256.85*0.85^2)</f>
        <v>0.53293316525836087</v>
      </c>
      <c r="L19" s="1">
        <f t="shared" si="4"/>
        <v>-6.6993758301189019E-2</v>
      </c>
      <c r="M19" s="19">
        <v>451.94</v>
      </c>
      <c r="N19" s="20"/>
    </row>
    <row r="20" spans="1:19" x14ac:dyDescent="0.2">
      <c r="A20" s="22" t="s">
        <v>94</v>
      </c>
      <c r="B20" t="s">
        <v>31</v>
      </c>
      <c r="C20" t="s">
        <v>19</v>
      </c>
      <c r="D20" t="s">
        <v>6</v>
      </c>
      <c r="E20">
        <v>0.35170000000000001</v>
      </c>
      <c r="F20">
        <v>0.36202000000000001</v>
      </c>
      <c r="G20" s="1">
        <f t="shared" si="0"/>
        <v>2.9343190218936582E-2</v>
      </c>
      <c r="H20">
        <f>[1]test_program!$Q$8</f>
        <v>0.36511226836505223</v>
      </c>
      <c r="I20" s="1">
        <f t="shared" si="1"/>
        <v>3.8135537006119463E-2</v>
      </c>
      <c r="J20" s="2">
        <f t="shared" ref="J20:J21" si="46">N20*1000</f>
        <v>2028</v>
      </c>
      <c r="K20">
        <f>1/2/PI()*SQRT(9.8*1000/J20)</f>
        <v>0.34986394927152137</v>
      </c>
      <c r="L20" s="1">
        <f t="shared" si="4"/>
        <v>-5.2205024978067794E-3</v>
      </c>
      <c r="M20" s="19">
        <v>451.94</v>
      </c>
      <c r="N20">
        <v>2.028</v>
      </c>
      <c r="O20">
        <v>8.0000000000000002E-3</v>
      </c>
      <c r="P20">
        <f t="shared" ref="P20" si="47">((E20*2*PI())^2-9.8/N20)/2*N20^2*M20</f>
        <v>47.260505661267501</v>
      </c>
      <c r="R20" s="25">
        <f t="shared" ref="R20" si="48">$A$31*M20*9.8*O20*(N20/O20)^$A$33</f>
        <v>81.620138211214851</v>
      </c>
      <c r="S20">
        <f t="shared" ref="S20" si="49">SQRT(2*R20/N20^2/M20+9.8/(N20))/2/PI()</f>
        <v>0.35302886244662324</v>
      </c>
    </row>
    <row r="21" spans="1:19" x14ac:dyDescent="0.2">
      <c r="A21" s="22">
        <v>30658.237000000001</v>
      </c>
      <c r="D21" t="s">
        <v>7</v>
      </c>
      <c r="E21">
        <v>0.40260000000000001</v>
      </c>
      <c r="F21">
        <v>0.42513000000000001</v>
      </c>
      <c r="G21" s="1">
        <f t="shared" si="0"/>
        <v>5.5961251862891193E-2</v>
      </c>
      <c r="H21">
        <f>[1]test_program!$P$8</f>
        <v>0.43008401417442699</v>
      </c>
      <c r="I21" s="1">
        <f t="shared" si="1"/>
        <v>6.8266304457096305E-2</v>
      </c>
      <c r="J21" s="2">
        <f t="shared" si="46"/>
        <v>1638</v>
      </c>
      <c r="K21">
        <f>1/2/PI()*SQRT(9.8*1000/J21)</f>
        <v>0.38929266490933861</v>
      </c>
      <c r="L21" s="1">
        <f t="shared" si="4"/>
        <v>-3.3053490041384498E-2</v>
      </c>
      <c r="M21" s="19">
        <v>451.94</v>
      </c>
      <c r="N21">
        <v>1.6379999999999999</v>
      </c>
      <c r="O21">
        <v>8.0000000000000002E-3</v>
      </c>
      <c r="Q21">
        <f t="shared" ref="Q21" si="50">((E21*2*PI())^2-9.8/N21)/4*N21^2*M21</f>
        <v>126.1147068396898</v>
      </c>
      <c r="R21" s="25">
        <f t="shared" ref="R21" si="51">$A$41*M21*9.8*O21*(N21/O21)^$A$43</f>
        <v>180.15134743488341</v>
      </c>
      <c r="S21">
        <f t="shared" ref="S21" si="52">SQRT(4*R21/N21^2/M21+9.8/(N21))/2/PI()</f>
        <v>0.40816907217538206</v>
      </c>
    </row>
    <row r="22" spans="1:19" x14ac:dyDescent="0.2">
      <c r="A22" s="22" t="s">
        <v>95</v>
      </c>
      <c r="D22" t="s">
        <v>8</v>
      </c>
      <c r="E22">
        <v>0.45169999999999999</v>
      </c>
      <c r="F22">
        <v>0.49597999999999998</v>
      </c>
      <c r="G22" s="1">
        <f t="shared" si="0"/>
        <v>9.8029665707327837E-2</v>
      </c>
      <c r="H22">
        <f>[1]test_program!$W$8</f>
        <v>0.51369799966192831</v>
      </c>
      <c r="I22" s="1">
        <f t="shared" si="1"/>
        <v>0.13725481439435094</v>
      </c>
      <c r="K22">
        <f>SQRT(K21^2*422.2/256.85*0.85^2)</f>
        <v>0.42424279558936129</v>
      </c>
      <c r="L22" s="1">
        <f t="shared" si="4"/>
        <v>-6.0786372394595313E-2</v>
      </c>
      <c r="M22" s="19">
        <v>451.94</v>
      </c>
      <c r="N22" s="20"/>
    </row>
    <row r="23" spans="1:19" x14ac:dyDescent="0.2">
      <c r="A23" s="22">
        <v>-11.124700000000001</v>
      </c>
      <c r="C23" t="s">
        <v>20</v>
      </c>
      <c r="D23" t="s">
        <v>6</v>
      </c>
      <c r="E23">
        <v>0.35199999999999998</v>
      </c>
      <c r="F23">
        <v>0.36202000000000001</v>
      </c>
      <c r="G23" s="1">
        <f t="shared" si="0"/>
        <v>2.8465909090909174E-2</v>
      </c>
      <c r="H23">
        <f>[1]test_program!$Q$8</f>
        <v>0.36511226836505223</v>
      </c>
      <c r="I23" s="1">
        <f t="shared" si="1"/>
        <v>3.7250762400716619E-2</v>
      </c>
      <c r="J23" s="2">
        <f t="shared" ref="J23:J24" si="53">N23*1000</f>
        <v>2028</v>
      </c>
      <c r="K23">
        <f>1/2/PI()*SQRT(9.8*1000/J23)</f>
        <v>0.34986394927152137</v>
      </c>
      <c r="L23" s="1">
        <f t="shared" si="4"/>
        <v>-6.0683259331778729E-3</v>
      </c>
      <c r="M23" s="19">
        <v>451.94</v>
      </c>
      <c r="N23">
        <v>2.028</v>
      </c>
      <c r="O23">
        <v>8.0000000000000002E-3</v>
      </c>
      <c r="P23">
        <f t="shared" ref="P23" si="54">((E23*2*PI())^2-9.8/N23)/2*N23^2*M23</f>
        <v>55.006108587970417</v>
      </c>
      <c r="R23" s="25">
        <f t="shared" ref="R23" si="55">$A$31*M23*9.8*O23*(N23/O23)^$A$33</f>
        <v>81.620138211214851</v>
      </c>
      <c r="S23">
        <f t="shared" ref="S23" si="56">SQRT(2*R23/N23^2/M23+9.8/(N23))/2/PI()</f>
        <v>0.35302886244662324</v>
      </c>
    </row>
    <row r="24" spans="1:19" x14ac:dyDescent="0.2">
      <c r="A24" s="22" t="s">
        <v>96</v>
      </c>
      <c r="D24" t="s">
        <v>7</v>
      </c>
      <c r="E24">
        <v>0.40720000000000001</v>
      </c>
      <c r="F24">
        <v>0.42513000000000001</v>
      </c>
      <c r="G24" s="1">
        <f t="shared" si="0"/>
        <v>4.403241650294696E-2</v>
      </c>
      <c r="H24">
        <f>[1]test_program!$P$8</f>
        <v>0.43008401417442699</v>
      </c>
      <c r="I24" s="1">
        <f t="shared" si="1"/>
        <v>5.6198463100262726E-2</v>
      </c>
      <c r="J24" s="2">
        <f t="shared" si="53"/>
        <v>1638</v>
      </c>
      <c r="K24">
        <f t="shared" ref="K24" si="57">1/2/PI()*SQRT(9.8*1000/J24)</f>
        <v>0.38929266490933861</v>
      </c>
      <c r="L24" s="1">
        <f t="shared" si="4"/>
        <v>-4.3976756116555479E-2</v>
      </c>
      <c r="M24" s="19">
        <v>451.94</v>
      </c>
      <c r="N24">
        <v>1.6379999999999999</v>
      </c>
      <c r="O24">
        <v>8.0000000000000002E-3</v>
      </c>
      <c r="Q24">
        <f t="shared" ref="Q24" si="58">((E24*2*PI())^2-9.8/N24)/4*N24^2*M24</f>
        <v>170.69510321961343</v>
      </c>
      <c r="R24" s="25">
        <f t="shared" ref="R24" si="59">$A$41*M24*9.8*O24*(N24/O24)^$A$43</f>
        <v>180.15134743488341</v>
      </c>
      <c r="S24">
        <f t="shared" ref="S24" si="60">SQRT(4*R24/N24^2/M24+9.8/(N24))/2/PI()</f>
        <v>0.40816907217538206</v>
      </c>
    </row>
    <row r="25" spans="1:19" x14ac:dyDescent="0.2">
      <c r="A25" s="22">
        <v>0.20200000000000001</v>
      </c>
      <c r="D25" t="s">
        <v>8</v>
      </c>
      <c r="E25">
        <v>0.45400000000000001</v>
      </c>
      <c r="F25">
        <v>0.49597999999999998</v>
      </c>
      <c r="G25" s="1">
        <f t="shared" si="0"/>
        <v>9.2466960352422814E-2</v>
      </c>
      <c r="H25">
        <f>[1]test_program!$W$8</f>
        <v>0.51369799966192831</v>
      </c>
      <c r="I25" s="1">
        <f t="shared" si="1"/>
        <v>0.13149339132583324</v>
      </c>
      <c r="K25">
        <f>SQRT(K24^2*422.2/256.85*0.85^2)</f>
        <v>0.42424279558936129</v>
      </c>
      <c r="L25" s="1">
        <f t="shared" si="4"/>
        <v>-6.5544503107133764E-2</v>
      </c>
      <c r="M25" s="19">
        <v>451.94</v>
      </c>
      <c r="N25" s="20"/>
    </row>
    <row r="26" spans="1:19" x14ac:dyDescent="0.2">
      <c r="A26" s="22" t="s">
        <v>97</v>
      </c>
      <c r="B26" t="s">
        <v>34</v>
      </c>
      <c r="C26" t="s">
        <v>12</v>
      </c>
      <c r="D26" t="s">
        <v>6</v>
      </c>
      <c r="E26">
        <v>0.33400000000000002</v>
      </c>
      <c r="F26">
        <v>0.34011000000000002</v>
      </c>
      <c r="G26" s="1">
        <f t="shared" si="0"/>
        <v>1.8293413173652708E-2</v>
      </c>
      <c r="H26">
        <f>[1]test_program!$Q$9</f>
        <v>0.347142328530058</v>
      </c>
      <c r="I26" s="1">
        <f t="shared" si="1"/>
        <v>3.9348289012149637E-2</v>
      </c>
      <c r="J26" s="2">
        <f t="shared" ref="J26:J27" si="61">N26*1000</f>
        <v>2227</v>
      </c>
      <c r="K26">
        <f t="shared" ref="K26:K27" si="62">1/2/PI()*SQRT(9.8*1000/J26)</f>
        <v>0.33386666653168939</v>
      </c>
      <c r="L26" s="1">
        <f t="shared" si="4"/>
        <v>-3.9920200093001722E-4</v>
      </c>
      <c r="M26" s="19">
        <v>451.94</v>
      </c>
      <c r="N26">
        <v>2.2269999999999999</v>
      </c>
      <c r="O26">
        <v>8.0000000000000002E-3</v>
      </c>
      <c r="P26">
        <f t="shared" ref="P26" si="63">((E26*2*PI())^2-9.8/N26)/2*N26^2*M26</f>
        <v>3.9398519359792097</v>
      </c>
      <c r="R26" s="25">
        <f t="shared" ref="R26" si="64">$A$31*M26*9.8*O26*(N26/O26)^$A$33</f>
        <v>92.852974941684295</v>
      </c>
      <c r="S26">
        <f t="shared" ref="S26" si="65">SQRT(2*R26/N26^2/M26+9.8/(N26))/2/PI()</f>
        <v>0.33699499174531383</v>
      </c>
    </row>
    <row r="27" spans="1:19" x14ac:dyDescent="0.2">
      <c r="A27" s="22">
        <v>198.22460000000001</v>
      </c>
      <c r="D27" t="s">
        <v>7</v>
      </c>
      <c r="E27">
        <v>0.38150000000000001</v>
      </c>
      <c r="F27">
        <v>0.39163999999999999</v>
      </c>
      <c r="G27" s="1">
        <f t="shared" ref="G27:G37" si="66">(F27-E27)/E27</f>
        <v>2.6579292267365617E-2</v>
      </c>
      <c r="H27">
        <f>[1]test_program!$P$9</f>
        <v>0.4021267714937472</v>
      </c>
      <c r="I27" s="1">
        <f t="shared" ref="I27:I37" si="67">(H27-E27)/E27</f>
        <v>5.4067553063557532E-2</v>
      </c>
      <c r="J27" s="2">
        <f t="shared" si="61"/>
        <v>1837</v>
      </c>
      <c r="K27">
        <f t="shared" si="62"/>
        <v>0.3676026143117655</v>
      </c>
      <c r="L27" s="1">
        <f t="shared" si="4"/>
        <v>-3.6428271790916143E-2</v>
      </c>
      <c r="M27" s="19">
        <v>451.94</v>
      </c>
      <c r="N27">
        <v>1.837</v>
      </c>
      <c r="O27">
        <v>8.0000000000000002E-3</v>
      </c>
      <c r="Q27">
        <f t="shared" ref="Q27" si="68">((E27*2*PI())^2-9.8/N27)/4*N27^2*M27</f>
        <v>156.70153924748081</v>
      </c>
      <c r="R27" s="25">
        <f t="shared" ref="R27" si="69">$A$41*M27*9.8*O27*(N27/O27)^$A$43</f>
        <v>197.21317866381207</v>
      </c>
      <c r="S27">
        <f t="shared" ref="S27" si="70">SQRT(4*R27/N27^2/M27+9.8/(N27))/2/PI()</f>
        <v>0.38501125558265586</v>
      </c>
    </row>
    <row r="28" spans="1:19" x14ac:dyDescent="0.2">
      <c r="D28" t="s">
        <v>38</v>
      </c>
      <c r="E28">
        <v>0.43</v>
      </c>
      <c r="F28">
        <v>0.45354</v>
      </c>
      <c r="G28" s="1">
        <f t="shared" si="66"/>
        <v>5.4744186046511642E-2</v>
      </c>
      <c r="H28">
        <f>[1]test_program!$W$9</f>
        <v>0.48030550152712487</v>
      </c>
      <c r="I28" s="1">
        <f t="shared" si="67"/>
        <v>0.11698953843517412</v>
      </c>
      <c r="K28">
        <f>SQRT(K27^2*422.2/256.85*0.85^2)</f>
        <v>0.40060544371649176</v>
      </c>
      <c r="L28" s="1">
        <f t="shared" si="4"/>
        <v>-6.8359433217461005E-2</v>
      </c>
      <c r="M28" s="19">
        <v>451.94</v>
      </c>
      <c r="N28" s="20"/>
    </row>
    <row r="29" spans="1:19" x14ac:dyDescent="0.2">
      <c r="A29" s="23" t="s">
        <v>99</v>
      </c>
      <c r="C29" t="s">
        <v>14</v>
      </c>
      <c r="D29" t="s">
        <v>6</v>
      </c>
      <c r="E29">
        <v>0.33339999999999997</v>
      </c>
      <c r="F29">
        <v>0.34011000000000002</v>
      </c>
      <c r="G29" s="1">
        <f t="shared" si="66"/>
        <v>2.0125974805039141E-2</v>
      </c>
      <c r="H29">
        <f>[1]test_program!$Q$9</f>
        <v>0.347142328530058</v>
      </c>
      <c r="I29" s="1">
        <f t="shared" si="67"/>
        <v>4.1218741841805712E-2</v>
      </c>
      <c r="J29" s="2">
        <f t="shared" ref="J29:J30" si="71">N29*1000</f>
        <v>2227</v>
      </c>
      <c r="K29">
        <f t="shared" ref="K29:K30" si="72">1/2/PI()*SQRT(9.8*1000/J29)</f>
        <v>0.33386666653168939</v>
      </c>
      <c r="L29" s="1">
        <f t="shared" si="4"/>
        <v>1.39971965113803E-3</v>
      </c>
      <c r="M29" s="19">
        <v>451.94</v>
      </c>
      <c r="N29">
        <v>2.2269999999999999</v>
      </c>
      <c r="O29">
        <v>8.0000000000000002E-3</v>
      </c>
      <c r="P29">
        <f t="shared" ref="P29" si="73">((E29*2*PI())^2-9.8/N29)/2*N29^2*M29</f>
        <v>-13.7770756093675</v>
      </c>
      <c r="R29" s="25">
        <f t="shared" ref="R29" si="74">$A$31*M29*9.8*O29*(N29/O29)^$A$33</f>
        <v>92.852974941684295</v>
      </c>
      <c r="S29">
        <f t="shared" ref="S29" si="75">SQRT(2*R29/N29^2/M29+9.8/(N29))/2/PI()</f>
        <v>0.33699499174531383</v>
      </c>
    </row>
    <row r="30" spans="1:19" x14ac:dyDescent="0.2">
      <c r="A30" t="s">
        <v>19</v>
      </c>
      <c r="D30" t="s">
        <v>7</v>
      </c>
      <c r="E30">
        <v>0.38329999999999997</v>
      </c>
      <c r="F30">
        <v>0.39163999999999999</v>
      </c>
      <c r="G30" s="1">
        <f t="shared" si="66"/>
        <v>2.1758413775110917E-2</v>
      </c>
      <c r="H30">
        <f>[1]test_program!$P$9</f>
        <v>0.4021267714937472</v>
      </c>
      <c r="I30" s="1">
        <f t="shared" si="67"/>
        <v>4.9117588034821892E-2</v>
      </c>
      <c r="J30" s="2">
        <f t="shared" si="71"/>
        <v>1837</v>
      </c>
      <c r="K30">
        <f t="shared" si="72"/>
        <v>0.3676026143117655</v>
      </c>
      <c r="L30" s="1">
        <f t="shared" si="4"/>
        <v>-4.0953262948694176E-2</v>
      </c>
      <c r="M30" s="19">
        <v>451.94</v>
      </c>
      <c r="N30">
        <v>1.837</v>
      </c>
      <c r="O30">
        <v>8.0000000000000002E-3</v>
      </c>
      <c r="Q30">
        <f t="shared" ref="Q30" si="76">((E30*2*PI())^2-9.8/N30)/4*N30^2*M30</f>
        <v>177.42294541876529</v>
      </c>
      <c r="R30" s="25">
        <f t="shared" ref="R30" si="77">$A$41*M30*9.8*O30*(N30/O30)^$A$43</f>
        <v>197.21317866381207</v>
      </c>
      <c r="S30">
        <f t="shared" ref="S30" si="78">SQRT(4*R30/N30^2/M30+9.8/(N30))/2/PI()</f>
        <v>0.38501125558265586</v>
      </c>
    </row>
    <row r="31" spans="1:19" x14ac:dyDescent="0.2">
      <c r="A31" s="24">
        <v>1.1244E-3</v>
      </c>
      <c r="D31" t="s">
        <v>8</v>
      </c>
      <c r="E31">
        <v>0.42970000000000003</v>
      </c>
      <c r="F31">
        <v>0.45354</v>
      </c>
      <c r="G31" s="1">
        <f t="shared" si="66"/>
        <v>5.5480567838026462E-2</v>
      </c>
      <c r="H31">
        <f>[1]test_program!$W$9</f>
        <v>0.48030550152712487</v>
      </c>
      <c r="I31" s="1">
        <f t="shared" si="67"/>
        <v>0.1177693775357804</v>
      </c>
      <c r="K31">
        <f>SQRT(K30^2*422.2/256.85*0.85^2)</f>
        <v>0.40060544371649176</v>
      </c>
      <c r="L31" s="1">
        <f t="shared" si="4"/>
        <v>-6.7708997634415319E-2</v>
      </c>
      <c r="M31" s="19">
        <v>451.94</v>
      </c>
      <c r="N31" s="20"/>
    </row>
    <row r="32" spans="1:19" x14ac:dyDescent="0.2">
      <c r="A32" t="s">
        <v>101</v>
      </c>
      <c r="C32" t="s">
        <v>15</v>
      </c>
      <c r="D32" t="s">
        <v>6</v>
      </c>
      <c r="E32">
        <v>0.33700000000000002</v>
      </c>
      <c r="F32">
        <v>0.34011000000000002</v>
      </c>
      <c r="G32" s="1">
        <f t="shared" si="66"/>
        <v>9.2284866468842781E-3</v>
      </c>
      <c r="H32">
        <f>[1]test_program!$Q$9</f>
        <v>0.347142328530058</v>
      </c>
      <c r="I32" s="1">
        <f t="shared" si="67"/>
        <v>3.0095930356255119E-2</v>
      </c>
      <c r="J32" s="2">
        <f t="shared" ref="J32:J33" si="79">N32*1000</f>
        <v>2227</v>
      </c>
      <c r="K32">
        <f t="shared" ref="K32:K33" si="80">1/2/PI()*SQRT(9.8*1000/J32)</f>
        <v>0.33386666653168939</v>
      </c>
      <c r="L32" s="1">
        <f t="shared" si="4"/>
        <v>-9.2977254252540904E-3</v>
      </c>
      <c r="M32" s="19">
        <v>451.94</v>
      </c>
      <c r="N32">
        <v>2.2269999999999999</v>
      </c>
      <c r="O32">
        <v>8.0000000000000002E-3</v>
      </c>
      <c r="P32">
        <f t="shared" ref="P32" si="81">((E32*2*PI())^2-9.8/N32)/2*N32^2*M32</f>
        <v>93.002321091858221</v>
      </c>
      <c r="R32" s="25">
        <f t="shared" ref="R32" si="82">$A$31*M32*9.8*O32*(N32/O32)^$A$33</f>
        <v>92.852974941684295</v>
      </c>
      <c r="S32">
        <f t="shared" ref="S32" si="83">SQRT(2*R32/N32^2/M32+9.8/(N32))/2/PI()</f>
        <v>0.33699499174531383</v>
      </c>
    </row>
    <row r="33" spans="1:19" x14ac:dyDescent="0.2">
      <c r="A33">
        <v>1.3774999999999999</v>
      </c>
      <c r="D33" t="s">
        <v>7</v>
      </c>
      <c r="E33">
        <v>0.38719999999999999</v>
      </c>
      <c r="F33">
        <v>0.39163999999999999</v>
      </c>
      <c r="G33" s="1">
        <f t="shared" si="66"/>
        <v>1.146694214876033E-2</v>
      </c>
      <c r="H33">
        <f>[1]test_program!$P$9</f>
        <v>0.4021267714937472</v>
      </c>
      <c r="I33" s="1">
        <f t="shared" si="67"/>
        <v>3.8550546213190123E-2</v>
      </c>
      <c r="J33" s="2">
        <f t="shared" si="79"/>
        <v>1837</v>
      </c>
      <c r="K33">
        <f t="shared" si="80"/>
        <v>0.3676026143117655</v>
      </c>
      <c r="L33" s="1">
        <f t="shared" si="4"/>
        <v>-5.0613082872506439E-2</v>
      </c>
      <c r="M33" s="19">
        <v>451.94</v>
      </c>
      <c r="N33">
        <v>1.837</v>
      </c>
      <c r="O33">
        <v>8.0000000000000002E-3</v>
      </c>
      <c r="Q33">
        <f t="shared" ref="Q33" si="84">((E33*2*PI())^2-9.8/N33)/4*N33^2*M33</f>
        <v>222.65393498350494</v>
      </c>
      <c r="R33" s="25">
        <f t="shared" ref="R33" si="85">$A$41*M33*9.8*O33*(N33/O33)^$A$43</f>
        <v>197.21317866381207</v>
      </c>
      <c r="S33">
        <f t="shared" ref="S33" si="86">SQRT(4*R33/N33^2/M33+9.8/(N33))/2/PI()</f>
        <v>0.38501125558265586</v>
      </c>
    </row>
    <row r="34" spans="1:19" x14ac:dyDescent="0.2">
      <c r="D34" t="s">
        <v>8</v>
      </c>
      <c r="E34">
        <v>0.432</v>
      </c>
      <c r="F34">
        <v>0.45354</v>
      </c>
      <c r="G34" s="1">
        <f t="shared" si="66"/>
        <v>4.986111111111112E-2</v>
      </c>
      <c r="H34">
        <f>[1]test_program!$W$9</f>
        <v>0.48030550152712487</v>
      </c>
      <c r="I34" s="1">
        <f t="shared" si="67"/>
        <v>0.11181829057204831</v>
      </c>
      <c r="K34">
        <f>SQRT(K33^2*422.2/256.85*0.85^2)</f>
        <v>0.40060544371649176</v>
      </c>
      <c r="L34" s="1">
        <f t="shared" si="4"/>
        <v>-7.2672583989602399E-2</v>
      </c>
      <c r="M34" s="19">
        <v>451.94</v>
      </c>
      <c r="N34" s="20"/>
    </row>
    <row r="35" spans="1:19" x14ac:dyDescent="0.2">
      <c r="C35" t="s">
        <v>16</v>
      </c>
      <c r="D35" t="s">
        <v>6</v>
      </c>
      <c r="E35">
        <v>0.33610000000000001</v>
      </c>
      <c r="F35">
        <v>0.34011000000000002</v>
      </c>
      <c r="G35" s="1">
        <f t="shared" si="66"/>
        <v>1.1930972924724824E-2</v>
      </c>
      <c r="H35">
        <f>[1]test_program!$Q$9</f>
        <v>0.347142328530058</v>
      </c>
      <c r="I35" s="1">
        <f t="shared" si="67"/>
        <v>3.2854294942154083E-2</v>
      </c>
      <c r="J35" s="2">
        <f t="shared" ref="J35:J36" si="87">N35*1000</f>
        <v>2227</v>
      </c>
      <c r="K35">
        <f t="shared" ref="K35:K36" si="88">1/2/PI()*SQRT(9.8*1000/J35)</f>
        <v>0.33386666653168939</v>
      </c>
      <c r="L35" s="1">
        <f t="shared" si="4"/>
        <v>-6.6448481651610125E-3</v>
      </c>
      <c r="M35" s="19">
        <v>451.94</v>
      </c>
      <c r="N35">
        <v>2.2269999999999999</v>
      </c>
      <c r="O35">
        <v>8.0000000000000002E-3</v>
      </c>
      <c r="P35">
        <f t="shared" ref="P35" si="89">((E35*2*PI())^2-9.8/N35)/2*N35^2*M35</f>
        <v>66.199959844993899</v>
      </c>
      <c r="R35" s="25">
        <f t="shared" ref="R35" si="90">$A$31*M35*9.8*O35*(N35/O35)^$A$33</f>
        <v>92.852974941684295</v>
      </c>
      <c r="S35">
        <f t="shared" ref="S35" si="91">SQRT(2*R35/N35^2/M35+9.8/(N35))/2/PI()</f>
        <v>0.33699499174531383</v>
      </c>
    </row>
    <row r="36" spans="1:19" x14ac:dyDescent="0.2">
      <c r="D36" t="s">
        <v>7</v>
      </c>
      <c r="E36">
        <v>0.38679999999999998</v>
      </c>
      <c r="F36">
        <v>0.39163999999999999</v>
      </c>
      <c r="G36" s="1">
        <f t="shared" si="66"/>
        <v>1.2512926577042428E-2</v>
      </c>
      <c r="H36">
        <f>[1]test_program!$P$9</f>
        <v>0.4021267714937472</v>
      </c>
      <c r="I36" s="1">
        <f t="shared" si="67"/>
        <v>3.9624538505034196E-2</v>
      </c>
      <c r="J36" s="2">
        <f t="shared" si="87"/>
        <v>1837</v>
      </c>
      <c r="K36">
        <f t="shared" si="88"/>
        <v>0.3676026143117655</v>
      </c>
      <c r="L36" s="1">
        <f t="shared" si="4"/>
        <v>-4.9631297022322857E-2</v>
      </c>
      <c r="M36" s="19">
        <v>451.94</v>
      </c>
      <c r="N36">
        <v>1.837</v>
      </c>
      <c r="O36">
        <v>8.0000000000000002E-3</v>
      </c>
      <c r="Q36">
        <f t="shared" ref="Q36" si="92">((E36*2*PI())^2-9.8/N36)/4*N36^2*M36</f>
        <v>217.99378610607138</v>
      </c>
      <c r="R36" s="25">
        <f t="shared" ref="R36" si="93">$A$41*M36*9.8*O36*(N36/O36)^$A$43</f>
        <v>197.21317866381207</v>
      </c>
      <c r="S36">
        <f t="shared" ref="S36" si="94">SQRT(4*R36/N36^2/M36+9.8/(N36))/2/PI()</f>
        <v>0.38501125558265586</v>
      </c>
    </row>
    <row r="37" spans="1:19" x14ac:dyDescent="0.2">
      <c r="D37" t="s">
        <v>8</v>
      </c>
      <c r="E37">
        <v>0.42659999999999998</v>
      </c>
      <c r="F37">
        <v>0.45354</v>
      </c>
      <c r="G37" s="1">
        <f t="shared" si="66"/>
        <v>6.3150492264416366E-2</v>
      </c>
      <c r="H37">
        <f>[1]test_program!$W$9</f>
        <v>0.48030550152712487</v>
      </c>
      <c r="I37" s="1">
        <f t="shared" si="67"/>
        <v>0.1258919398197958</v>
      </c>
      <c r="K37">
        <f>SQRT(K36^2*422.2/256.85*0.85^2)</f>
        <v>0.40060544371649176</v>
      </c>
      <c r="L37" s="1">
        <f t="shared" si="4"/>
        <v>-6.0934262267951761E-2</v>
      </c>
      <c r="M37" s="19">
        <v>451.94</v>
      </c>
      <c r="N37" s="20"/>
    </row>
    <row r="38" spans="1:19" x14ac:dyDescent="0.2">
      <c r="B38" t="s">
        <v>32</v>
      </c>
      <c r="C38" t="s">
        <v>12</v>
      </c>
      <c r="D38" t="s">
        <v>6</v>
      </c>
      <c r="E38">
        <v>0.29530000000000001</v>
      </c>
      <c r="F38">
        <v>0.30095</v>
      </c>
      <c r="G38" s="1">
        <f>(F38-E38)/E38</f>
        <v>1.9133084998306765E-2</v>
      </c>
      <c r="H38">
        <f>[1]test_program!$Q$10</f>
        <v>0.30564645447435224</v>
      </c>
      <c r="I38" s="1">
        <f>(H38-E38)/E38</f>
        <v>3.5037096086529732E-2</v>
      </c>
      <c r="J38" s="2">
        <f t="shared" ref="J38:J39" si="95">N38*1000</f>
        <v>2827</v>
      </c>
      <c r="K38">
        <f t="shared" ref="K38:K39" si="96">1/2/PI()*SQRT(9.8*1000/J38)</f>
        <v>0.29632634564147964</v>
      </c>
      <c r="L38" s="1">
        <f t="shared" si="4"/>
        <v>3.47560325594186E-3</v>
      </c>
      <c r="M38" s="19">
        <v>451.94</v>
      </c>
      <c r="N38">
        <v>2.827</v>
      </c>
      <c r="O38">
        <v>8.0000000000000002E-3</v>
      </c>
      <c r="P38">
        <f t="shared" ref="P38" si="97">((E38*2*PI())^2-9.8/N38)/2*N38^2*M38</f>
        <v>-43.291565099431246</v>
      </c>
      <c r="R38" s="25">
        <f t="shared" ref="R38" si="98">$A$31*M38*9.8*O38*(N38/O38)^$A$33</f>
        <v>128.97707542162283</v>
      </c>
      <c r="S38">
        <f t="shared" ref="S38" si="99">SQRT(2*R38/N38^2/M38+9.8/(N38))/2/PI()</f>
        <v>0.29936324482445742</v>
      </c>
    </row>
    <row r="39" spans="1:19" x14ac:dyDescent="0.2">
      <c r="A39" s="23" t="s">
        <v>100</v>
      </c>
      <c r="D39" t="s">
        <v>7</v>
      </c>
      <c r="E39">
        <v>0.32679999999999998</v>
      </c>
      <c r="F39">
        <v>0.33489000000000002</v>
      </c>
      <c r="G39" s="1">
        <f t="shared" ref="G39:G61" si="100">(F39-E39)/E39</f>
        <v>2.4755201958384463E-2</v>
      </c>
      <c r="H39">
        <f>[1]test_program!$P$10</f>
        <v>0.34199616547404965</v>
      </c>
      <c r="I39" s="1">
        <f t="shared" ref="I39:I61" si="101">(H39-E39)/E39</f>
        <v>4.6499894351437185E-2</v>
      </c>
      <c r="J39" s="2">
        <f t="shared" si="95"/>
        <v>2437</v>
      </c>
      <c r="K39">
        <f t="shared" si="96"/>
        <v>0.31915775747783365</v>
      </c>
      <c r="L39" s="1">
        <f t="shared" si="4"/>
        <v>-2.3385075037228677E-2</v>
      </c>
      <c r="M39" s="19">
        <v>451.94</v>
      </c>
      <c r="N39">
        <v>2.4369999999999998</v>
      </c>
      <c r="O39">
        <v>8.0000000000000002E-3</v>
      </c>
      <c r="Q39">
        <f t="shared" ref="Q39" si="102">((E39*2*PI())^2-9.8/N39)/4*N39^2*M39</f>
        <v>130.77252786820293</v>
      </c>
      <c r="R39" s="25">
        <f t="shared" ref="R39" si="103">$A$41*M39*9.8*O39*(N39/O39)^$A$43</f>
        <v>246.49457785979095</v>
      </c>
      <c r="S39">
        <f t="shared" ref="S39" si="104">SQRT(4*R39/N39^2/M39+9.8/(N39))/2/PI()</f>
        <v>0.33341664846754043</v>
      </c>
    </row>
    <row r="40" spans="1:19" x14ac:dyDescent="0.2">
      <c r="A40" t="s">
        <v>19</v>
      </c>
      <c r="D40" t="s">
        <v>8</v>
      </c>
      <c r="E40">
        <v>0.36209999999999998</v>
      </c>
      <c r="F40">
        <v>0.39223999999999998</v>
      </c>
      <c r="G40" s="1">
        <f t="shared" si="100"/>
        <v>8.3236674951670808E-2</v>
      </c>
      <c r="H40">
        <f>[1]test_program!$W$10</f>
        <v>0.4084847153254535</v>
      </c>
      <c r="I40" s="1">
        <f t="shared" si="101"/>
        <v>0.12809918620672059</v>
      </c>
      <c r="K40">
        <f>SQRT(K39^2*422.2/256.85*0.85^2)</f>
        <v>0.34781127791853095</v>
      </c>
      <c r="L40" s="1">
        <f t="shared" si="4"/>
        <v>-3.946070721201058E-2</v>
      </c>
      <c r="M40" s="19">
        <v>451.94</v>
      </c>
      <c r="N40" s="20"/>
    </row>
    <row r="41" spans="1:19" x14ac:dyDescent="0.2">
      <c r="A41" s="24">
        <v>7.6246999999999995E-2</v>
      </c>
      <c r="C41" t="s">
        <v>14</v>
      </c>
      <c r="D41" t="s">
        <v>6</v>
      </c>
      <c r="E41">
        <v>0.29680000000000001</v>
      </c>
      <c r="F41">
        <v>0.30095</v>
      </c>
      <c r="G41" s="1">
        <f t="shared" si="100"/>
        <v>1.3982479784366533E-2</v>
      </c>
      <c r="H41">
        <f>[1]test_program!$Q$10</f>
        <v>0.30564645447435224</v>
      </c>
      <c r="I41" s="1">
        <f t="shared" si="101"/>
        <v>2.9806113458060064E-2</v>
      </c>
      <c r="J41" s="2">
        <f t="shared" ref="J41:J42" si="105">N41*1000</f>
        <v>2827</v>
      </c>
      <c r="K41">
        <f t="shared" ref="K41:K42" si="106">1/2/PI()*SQRT(9.8*1000/J41)</f>
        <v>0.29632634564147964</v>
      </c>
      <c r="L41" s="1">
        <f t="shared" si="4"/>
        <v>-1.5958704801899261E-3</v>
      </c>
      <c r="M41" s="19">
        <v>451.94</v>
      </c>
      <c r="N41">
        <v>2.827</v>
      </c>
      <c r="O41">
        <v>8.0000000000000002E-3</v>
      </c>
      <c r="P41">
        <f t="shared" ref="P41" si="107">((E41*2*PI())^2-9.8/N41)/2*N41^2*M41</f>
        <v>20.029536172133959</v>
      </c>
      <c r="R41" s="25">
        <f t="shared" ref="R41" si="108">$A$31*M41*9.8*O41*(N41/O41)^$A$33</f>
        <v>128.97707542162283</v>
      </c>
      <c r="S41">
        <f t="shared" ref="S41" si="109">SQRT(2*R41/N41^2/M41+9.8/(N41))/2/PI()</f>
        <v>0.29936324482445742</v>
      </c>
    </row>
    <row r="42" spans="1:19" x14ac:dyDescent="0.2">
      <c r="A42" t="s">
        <v>101</v>
      </c>
      <c r="D42" t="s">
        <v>7</v>
      </c>
      <c r="E42">
        <v>0.32800000000000001</v>
      </c>
      <c r="F42">
        <v>0.33489000000000002</v>
      </c>
      <c r="G42" s="1">
        <f t="shared" si="100"/>
        <v>2.1006097560975632E-2</v>
      </c>
      <c r="H42">
        <f>[1]test_program!$P$10</f>
        <v>0.34199616547404965</v>
      </c>
      <c r="I42" s="1">
        <f t="shared" si="101"/>
        <v>4.2671236201370845E-2</v>
      </c>
      <c r="J42" s="2">
        <f t="shared" si="105"/>
        <v>2437</v>
      </c>
      <c r="K42">
        <f t="shared" si="106"/>
        <v>0.31915775747783365</v>
      </c>
      <c r="L42" s="1">
        <f t="shared" si="4"/>
        <v>-2.6958056470019406E-2</v>
      </c>
      <c r="M42" s="19">
        <v>451.94</v>
      </c>
      <c r="N42">
        <v>2.4369999999999998</v>
      </c>
      <c r="O42">
        <v>8.0000000000000002E-3</v>
      </c>
      <c r="Q42">
        <f t="shared" ref="Q42" si="110">((E42*2*PI())^2-9.8/N42)/4*N42^2*M42</f>
        <v>151.58777166163262</v>
      </c>
      <c r="R42" s="25">
        <f t="shared" ref="R42" si="111">$A$41*M42*9.8*O42*(N42/O42)^$A$43</f>
        <v>246.49457785979095</v>
      </c>
      <c r="S42">
        <f t="shared" ref="S42" si="112">SQRT(4*R42/N42^2/M42+9.8/(N42))/2/PI()</f>
        <v>0.33341664846754043</v>
      </c>
    </row>
    <row r="43" spans="1:19" x14ac:dyDescent="0.2">
      <c r="A43">
        <v>0.78920000000000001</v>
      </c>
      <c r="D43" t="s">
        <v>8</v>
      </c>
      <c r="E43">
        <v>0.36209999999999998</v>
      </c>
      <c r="F43">
        <v>0.39223999999999998</v>
      </c>
      <c r="G43" s="1">
        <f t="shared" si="100"/>
        <v>8.3236674951670808E-2</v>
      </c>
      <c r="H43">
        <f>[1]test_program!$W$10</f>
        <v>0.4084847153254535</v>
      </c>
      <c r="I43" s="1">
        <f t="shared" si="101"/>
        <v>0.12809918620672059</v>
      </c>
      <c r="K43">
        <f>SQRT(K42^2*422.2/256.85*0.85^2)</f>
        <v>0.34781127791853095</v>
      </c>
      <c r="L43" s="1">
        <f t="shared" si="4"/>
        <v>-3.946070721201058E-2</v>
      </c>
      <c r="M43" s="19">
        <v>451.94</v>
      </c>
      <c r="N43" s="20"/>
    </row>
    <row r="44" spans="1:19" x14ac:dyDescent="0.2">
      <c r="C44" t="s">
        <v>15</v>
      </c>
      <c r="D44" t="s">
        <v>6</v>
      </c>
      <c r="E44">
        <v>0.3009</v>
      </c>
      <c r="F44">
        <v>0.30095</v>
      </c>
      <c r="G44" s="1">
        <f t="shared" si="100"/>
        <v>1.6616816218010798E-4</v>
      </c>
      <c r="H44">
        <f>[1]test_program!$Q$10</f>
        <v>0.30564645447435224</v>
      </c>
      <c r="I44" s="1">
        <f t="shared" si="101"/>
        <v>1.5774192337494965E-2</v>
      </c>
      <c r="J44" s="2">
        <f t="shared" ref="J44:J45" si="113">N44*1000</f>
        <v>2827</v>
      </c>
      <c r="K44">
        <f t="shared" ref="K44:K45" si="114">1/2/PI()*SQRT(9.8*1000/J44)</f>
        <v>0.29632634564147964</v>
      </c>
      <c r="L44" s="1">
        <f t="shared" si="4"/>
        <v>-1.5199914784049062E-2</v>
      </c>
      <c r="M44" s="19">
        <v>451.94</v>
      </c>
      <c r="N44">
        <v>2.827</v>
      </c>
      <c r="O44">
        <v>8.0000000000000002E-3</v>
      </c>
      <c r="P44">
        <f t="shared" ref="P44" si="115">((E44*2*PI())^2-9.8/N44)/2*N44^2*M44</f>
        <v>194.74415773725445</v>
      </c>
      <c r="R44" s="25">
        <f t="shared" ref="R44" si="116">$A$31*M44*9.8*O44*(N44/O44)^$A$33</f>
        <v>128.97707542162283</v>
      </c>
      <c r="S44">
        <f t="shared" ref="S44" si="117">SQRT(2*R44/N44^2/M44+9.8/(N44))/2/PI()</f>
        <v>0.29936324482445742</v>
      </c>
    </row>
    <row r="45" spans="1:19" x14ac:dyDescent="0.2">
      <c r="D45" t="s">
        <v>7</v>
      </c>
      <c r="E45">
        <v>0.31919999999999998</v>
      </c>
      <c r="F45">
        <v>0.33489000000000002</v>
      </c>
      <c r="G45" s="1">
        <f t="shared" si="100"/>
        <v>4.9154135338345985E-2</v>
      </c>
      <c r="H45">
        <f>[1]test_program!$P$10</f>
        <v>0.34199616547404965</v>
      </c>
      <c r="I45" s="1">
        <f t="shared" si="101"/>
        <v>7.1416558502661875E-2</v>
      </c>
      <c r="J45" s="2">
        <f t="shared" si="113"/>
        <v>2437</v>
      </c>
      <c r="K45">
        <f t="shared" si="114"/>
        <v>0.31915775747783365</v>
      </c>
      <c r="L45" s="1">
        <f t="shared" si="4"/>
        <v>-1.3233872859127769E-4</v>
      </c>
      <c r="M45" s="19">
        <v>451.94</v>
      </c>
      <c r="N45">
        <v>2.4369999999999998</v>
      </c>
      <c r="O45">
        <v>8.0000000000000002E-3</v>
      </c>
      <c r="Q45">
        <f t="shared" ref="Q45" si="118">((E45*2*PI())^2-9.8/N45)/4*N45^2*M45</f>
        <v>0.71434098134744439</v>
      </c>
      <c r="R45" s="25">
        <f t="shared" ref="R45" si="119">$A$41*M45*9.8*O45*(N45/O45)^$A$43</f>
        <v>246.49457785979095</v>
      </c>
      <c r="S45">
        <f t="shared" ref="S45" si="120">SQRT(4*R45/N45^2/M45+9.8/(N45))/2/PI()</f>
        <v>0.33341664846754043</v>
      </c>
    </row>
    <row r="46" spans="1:19" x14ac:dyDescent="0.2">
      <c r="D46" t="s">
        <v>8</v>
      </c>
      <c r="E46">
        <v>0.374</v>
      </c>
      <c r="F46">
        <v>0.39223999999999998</v>
      </c>
      <c r="G46" s="1">
        <f t="shared" si="100"/>
        <v>4.8770053475935771E-2</v>
      </c>
      <c r="H46">
        <f>[1]test_program!$W$10</f>
        <v>0.4084847153254535</v>
      </c>
      <c r="I46" s="1">
        <f t="shared" si="101"/>
        <v>9.2205121191052133E-2</v>
      </c>
      <c r="K46">
        <f>SQRT(K45^2*422.2/256.85*0.85^2)</f>
        <v>0.34781127791853095</v>
      </c>
      <c r="L46" s="1">
        <f t="shared" si="4"/>
        <v>-7.0023321073446665E-2</v>
      </c>
      <c r="M46" s="19">
        <v>451.94</v>
      </c>
      <c r="N46" s="20"/>
    </row>
    <row r="47" spans="1:19" x14ac:dyDescent="0.2">
      <c r="C47" t="s">
        <v>16</v>
      </c>
      <c r="D47" t="s">
        <v>6</v>
      </c>
      <c r="E47">
        <v>0.2989</v>
      </c>
      <c r="F47">
        <v>0.30095</v>
      </c>
      <c r="G47" s="1">
        <f t="shared" si="100"/>
        <v>6.8584810973569632E-3</v>
      </c>
      <c r="H47">
        <f>[1]test_program!$Q$10</f>
        <v>0.30564645447435224</v>
      </c>
      <c r="I47" s="1">
        <f t="shared" si="101"/>
        <v>2.2570941700743516E-2</v>
      </c>
      <c r="J47" s="2">
        <f t="shared" ref="J47:J48" si="121">N47*1000</f>
        <v>2827</v>
      </c>
      <c r="K47">
        <f t="shared" ref="K47:K48" si="122">1/2/PI()*SQRT(9.8*1000/J47)</f>
        <v>0.29632634564147964</v>
      </c>
      <c r="L47" s="1">
        <f t="shared" si="4"/>
        <v>-8.6104193995328229E-3</v>
      </c>
      <c r="M47" s="19">
        <v>451.94</v>
      </c>
      <c r="N47">
        <v>2.827</v>
      </c>
      <c r="O47">
        <v>8.0000000000000002E-3</v>
      </c>
      <c r="P47">
        <f t="shared" ref="P47" si="123">((E47*2*PI())^2-9.8/N47)/2*N47^2*M47</f>
        <v>109.21807195740858</v>
      </c>
      <c r="R47" s="25">
        <f t="shared" ref="R47" si="124">$A$31*M47*9.8*O47*(N47/O47)^$A$33</f>
        <v>128.97707542162283</v>
      </c>
      <c r="S47">
        <f t="shared" ref="S47" si="125">SQRT(2*R47/N47^2/M47+9.8/(N47))/2/PI()</f>
        <v>0.29936324482445742</v>
      </c>
    </row>
    <row r="48" spans="1:19" x14ac:dyDescent="0.2">
      <c r="D48" t="s">
        <v>7</v>
      </c>
      <c r="E48">
        <v>0.33029999999999998</v>
      </c>
      <c r="F48">
        <v>0.33489000000000002</v>
      </c>
      <c r="G48" s="1">
        <f t="shared" si="100"/>
        <v>1.3896457765667692E-2</v>
      </c>
      <c r="H48">
        <f>[1]test_program!$P$10</f>
        <v>0.34199616547404965</v>
      </c>
      <c r="I48" s="1">
        <f t="shared" si="101"/>
        <v>3.5410734102481592E-2</v>
      </c>
      <c r="J48" s="2">
        <f t="shared" si="121"/>
        <v>2437</v>
      </c>
      <c r="K48">
        <f t="shared" si="122"/>
        <v>0.31915775747783365</v>
      </c>
      <c r="L48" s="1">
        <f t="shared" si="4"/>
        <v>-3.3733704275405195E-2</v>
      </c>
      <c r="M48" s="19">
        <v>451.94</v>
      </c>
      <c r="N48">
        <v>2.4369999999999998</v>
      </c>
      <c r="O48">
        <v>8.0000000000000002E-3</v>
      </c>
      <c r="Q48">
        <f t="shared" ref="Q48" si="126">((E48*2*PI())^2-9.8/N48)/4*N48^2*M48</f>
        <v>191.69690482594615</v>
      </c>
      <c r="R48" s="25">
        <f t="shared" ref="R48" si="127">$A$41*M48*9.8*O48*(N48/O48)^$A$43</f>
        <v>246.49457785979095</v>
      </c>
      <c r="S48">
        <f t="shared" ref="S48" si="128">SQRT(4*R48/N48^2/M48+9.8/(N48))/2/PI()</f>
        <v>0.33341664846754043</v>
      </c>
    </row>
    <row r="49" spans="2:19" x14ac:dyDescent="0.2">
      <c r="D49" t="s">
        <v>8</v>
      </c>
      <c r="E49">
        <v>0.35930000000000001</v>
      </c>
      <c r="F49">
        <v>0.39223999999999998</v>
      </c>
      <c r="G49" s="1">
        <f t="shared" si="100"/>
        <v>9.1678263289729944E-2</v>
      </c>
      <c r="H49">
        <f>[1]test_program!$W$10</f>
        <v>0.4084847153254535</v>
      </c>
      <c r="I49" s="1">
        <f t="shared" si="101"/>
        <v>0.1368903849859546</v>
      </c>
      <c r="K49">
        <f>SQRT(K48^2*422.2/256.85*0.85^2)</f>
        <v>0.34781127791853095</v>
      </c>
      <c r="L49" s="1">
        <f t="shared" si="4"/>
        <v>-3.1975291070050267E-2</v>
      </c>
      <c r="M49" s="19">
        <v>451.94</v>
      </c>
      <c r="N49" s="20"/>
    </row>
    <row r="50" spans="2:19" x14ac:dyDescent="0.2">
      <c r="B50" t="s">
        <v>33</v>
      </c>
      <c r="C50" t="s">
        <v>12</v>
      </c>
      <c r="D50" t="s">
        <v>6</v>
      </c>
      <c r="E50">
        <v>0.29930000000000001</v>
      </c>
      <c r="F50">
        <v>0.30109999999999998</v>
      </c>
      <c r="G50" s="1">
        <f t="shared" si="100"/>
        <v>6.0140327430670505E-3</v>
      </c>
      <c r="H50">
        <f>[1]test_program!$Q$11</f>
        <v>0.30564645447435224</v>
      </c>
      <c r="I50" s="1">
        <f t="shared" si="101"/>
        <v>2.1204325006188525E-2</v>
      </c>
      <c r="J50" s="2">
        <f t="shared" ref="J50:J51" si="129">N50*1000</f>
        <v>2827</v>
      </c>
      <c r="K50">
        <f t="shared" ref="K50:K51" si="130">1/2/PI()*SQRT(9.8*1000/J50)</f>
        <v>0.29632634564147964</v>
      </c>
      <c r="L50" s="1">
        <f t="shared" si="4"/>
        <v>-9.9353637103921557E-3</v>
      </c>
      <c r="M50" s="19">
        <v>451.94</v>
      </c>
      <c r="N50">
        <v>2.827</v>
      </c>
      <c r="O50">
        <v>8.0000000000000002E-3</v>
      </c>
      <c r="P50">
        <f t="shared" ref="P50" si="131">((E50*2*PI())^2-9.8/N50)/2*N50^2*M50</f>
        <v>126.27765999125471</v>
      </c>
      <c r="R50" s="25">
        <f t="shared" ref="R50" si="132">$A$31*M50*9.8*O50*(N50/O50)^$A$33</f>
        <v>128.97707542162283</v>
      </c>
      <c r="S50">
        <f t="shared" ref="S50" si="133">SQRT(2*R50/N50^2/M50+9.8/(N50))/2/PI()</f>
        <v>0.29936324482445742</v>
      </c>
    </row>
    <row r="51" spans="2:19" x14ac:dyDescent="0.2">
      <c r="D51" t="s">
        <v>7</v>
      </c>
      <c r="E51">
        <v>0.32629999999999998</v>
      </c>
      <c r="F51">
        <v>0.33504</v>
      </c>
      <c r="G51" s="1">
        <f t="shared" si="100"/>
        <v>2.678516702421093E-2</v>
      </c>
      <c r="H51">
        <f>[1]test_program!$P$11</f>
        <v>0.34199616547404965</v>
      </c>
      <c r="I51" s="1">
        <f t="shared" si="101"/>
        <v>4.8103479846919012E-2</v>
      </c>
      <c r="J51" s="2">
        <f t="shared" si="129"/>
        <v>2437</v>
      </c>
      <c r="K51">
        <f t="shared" si="130"/>
        <v>0.31915775747783365</v>
      </c>
      <c r="L51" s="1">
        <f t="shared" si="4"/>
        <v>-2.1888576531309628E-2</v>
      </c>
      <c r="M51" s="19">
        <v>451.94</v>
      </c>
      <c r="N51">
        <v>2.4369999999999998</v>
      </c>
      <c r="O51">
        <v>8.0000000000000002E-3</v>
      </c>
      <c r="Q51">
        <f t="shared" ref="Q51" si="134">((E51*2*PI())^2-9.8/N51)/4*N51^2*M51</f>
        <v>122.1220266200569</v>
      </c>
      <c r="R51" s="25">
        <f t="shared" ref="R51" si="135">$A$41*M51*9.8*O51*(N51/O51)^$A$43</f>
        <v>246.49457785979095</v>
      </c>
      <c r="S51">
        <f t="shared" ref="S51" si="136">SQRT(4*R51/N51^2/M51+9.8/(N51))/2/PI()</f>
        <v>0.33341664846754043</v>
      </c>
    </row>
    <row r="52" spans="2:19" x14ac:dyDescent="0.2">
      <c r="D52" t="s">
        <v>8</v>
      </c>
      <c r="E52">
        <v>0.36070000000000002</v>
      </c>
      <c r="F52">
        <v>0.39241999999999999</v>
      </c>
      <c r="G52" s="1">
        <f t="shared" si="100"/>
        <v>8.794011644025497E-2</v>
      </c>
      <c r="H52">
        <f>[1]test_program!$W$11</f>
        <v>0.4084847153254535</v>
      </c>
      <c r="I52" s="1">
        <f t="shared" si="101"/>
        <v>0.13247772477253528</v>
      </c>
      <c r="K52">
        <f>SQRT(K51^2*422.2/256.85*0.85^2)</f>
        <v>0.34781127791853095</v>
      </c>
      <c r="L52" s="1">
        <f t="shared" si="4"/>
        <v>-3.5732525870443781E-2</v>
      </c>
      <c r="M52" s="19">
        <v>451.94</v>
      </c>
      <c r="N52" s="20"/>
    </row>
    <row r="53" spans="2:19" x14ac:dyDescent="0.2">
      <c r="C53" t="s">
        <v>14</v>
      </c>
      <c r="D53" t="s">
        <v>6</v>
      </c>
      <c r="E53">
        <v>0.29630000000000001</v>
      </c>
      <c r="F53">
        <v>0.30109999999999998</v>
      </c>
      <c r="G53" s="1">
        <f t="shared" si="100"/>
        <v>1.6199797502531119E-2</v>
      </c>
      <c r="H53">
        <f>[1]test_program!$Q$11</f>
        <v>0.30564645447435224</v>
      </c>
      <c r="I53" s="1">
        <f t="shared" si="101"/>
        <v>3.1543889552319362E-2</v>
      </c>
      <c r="J53" s="2">
        <f t="shared" ref="J53:J54" si="137">N53*1000</f>
        <v>2827</v>
      </c>
      <c r="K53">
        <f t="shared" ref="K53:K54" si="138">1/2/PI()*SQRT(9.8*1000/J53)</f>
        <v>0.29632634564147964</v>
      </c>
      <c r="L53" s="1">
        <f t="shared" si="4"/>
        <v>8.8915428550895601E-5</v>
      </c>
      <c r="M53" s="19">
        <v>451.94</v>
      </c>
      <c r="N53">
        <v>2.827</v>
      </c>
      <c r="O53">
        <v>8.0000000000000002E-3</v>
      </c>
      <c r="P53">
        <f t="shared" ref="P53" si="139">((E53*2*PI())^2-9.8/N53)/2*N53^2*M53</f>
        <v>-1.1131453367143012</v>
      </c>
      <c r="R53" s="25">
        <f t="shared" ref="R53" si="140">$A$31*M53*9.8*O53*(N53/O53)^$A$33</f>
        <v>128.97707542162283</v>
      </c>
      <c r="S53">
        <f t="shared" ref="S53" si="141">SQRT(2*R53/N53^2/M53+9.8/(N53))/2/PI()</f>
        <v>0.29936324482445742</v>
      </c>
    </row>
    <row r="54" spans="2:19" x14ac:dyDescent="0.2">
      <c r="D54" t="s">
        <v>7</v>
      </c>
      <c r="E54">
        <v>0.32719999999999999</v>
      </c>
      <c r="F54">
        <v>0.33504</v>
      </c>
      <c r="G54" s="1">
        <f t="shared" si="100"/>
        <v>2.3960880195599065E-2</v>
      </c>
      <c r="H54">
        <f>[1]test_program!$P$11</f>
        <v>0.34199616547404965</v>
      </c>
      <c r="I54" s="1">
        <f t="shared" si="101"/>
        <v>4.5220554627291139E-2</v>
      </c>
      <c r="J54" s="2">
        <f t="shared" si="137"/>
        <v>2437</v>
      </c>
      <c r="K54">
        <f t="shared" si="138"/>
        <v>0.31915775747783365</v>
      </c>
      <c r="L54" s="1">
        <f t="shared" si="4"/>
        <v>-2.4578980813466818E-2</v>
      </c>
      <c r="M54" s="19">
        <v>451.94</v>
      </c>
      <c r="N54">
        <v>2.4369999999999998</v>
      </c>
      <c r="O54">
        <v>8.0000000000000002E-3</v>
      </c>
      <c r="Q54">
        <f t="shared" ref="Q54" si="142">((E54*2*PI())^2-9.8/N54)/4*N54^2*M54</f>
        <v>137.70246547811078</v>
      </c>
      <c r="R54" s="25">
        <f t="shared" ref="R54" si="143">$A$41*M54*9.8*O54*(N54/O54)^$A$43</f>
        <v>246.49457785979095</v>
      </c>
      <c r="S54">
        <f t="shared" ref="S54" si="144">SQRT(4*R54/N54^2/M54+9.8/(N54))/2/PI()</f>
        <v>0.33341664846754043</v>
      </c>
    </row>
    <row r="55" spans="2:19" x14ac:dyDescent="0.2">
      <c r="D55" t="s">
        <v>8</v>
      </c>
      <c r="E55">
        <v>0.37359999999999999</v>
      </c>
      <c r="F55">
        <v>0.39241999999999999</v>
      </c>
      <c r="G55" s="1">
        <f t="shared" si="100"/>
        <v>5.0374732334047122E-2</v>
      </c>
      <c r="H55">
        <f>[1]test_program!$W$11</f>
        <v>0.4084847153254535</v>
      </c>
      <c r="I55" s="1">
        <f t="shared" si="101"/>
        <v>9.3374505689115386E-2</v>
      </c>
      <c r="K55">
        <f>SQRT(K54^2*422.2/256.85*0.85^2)</f>
        <v>0.34781127791853095</v>
      </c>
      <c r="L55" s="1">
        <f t="shared" si="4"/>
        <v>-6.9027628697722276E-2</v>
      </c>
      <c r="M55" s="19">
        <v>451.94</v>
      </c>
      <c r="N55" s="20"/>
    </row>
    <row r="56" spans="2:19" x14ac:dyDescent="0.2">
      <c r="C56" t="s">
        <v>15</v>
      </c>
      <c r="D56" t="s">
        <v>6</v>
      </c>
      <c r="E56">
        <v>0.29809999999999998</v>
      </c>
      <c r="F56">
        <v>0.30109999999999998</v>
      </c>
      <c r="G56" s="1">
        <f t="shared" si="100"/>
        <v>1.0063737001006384E-2</v>
      </c>
      <c r="H56">
        <f>[1]test_program!$Q$11</f>
        <v>0.30564645447435224</v>
      </c>
      <c r="I56" s="1">
        <f t="shared" si="101"/>
        <v>2.531517770664965E-2</v>
      </c>
      <c r="J56" s="2">
        <f t="shared" ref="J56:J57" si="145">N56*1000</f>
        <v>2827</v>
      </c>
      <c r="K56">
        <f t="shared" ref="K56:K57" si="146">1/2/PI()*SQRT(9.8*1000/J56)</f>
        <v>0.29632634564147964</v>
      </c>
      <c r="L56" s="1">
        <f t="shared" si="4"/>
        <v>-5.9498636649457839E-3</v>
      </c>
      <c r="M56" s="19">
        <v>451.94</v>
      </c>
      <c r="N56">
        <v>2.827</v>
      </c>
      <c r="O56">
        <v>8.0000000000000002E-3</v>
      </c>
      <c r="P56">
        <f t="shared" ref="P56" si="147">((E56*2*PI())^2-9.8/N56)/2*N56^2*M56</f>
        <v>75.167339572899806</v>
      </c>
      <c r="R56" s="25">
        <f t="shared" ref="R56" si="148">$A$31*M56*9.8*O56*(N56/O56)^$A$33</f>
        <v>128.97707542162283</v>
      </c>
      <c r="S56">
        <f t="shared" ref="S56" si="149">SQRT(2*R56/N56^2/M56+9.8/(N56))/2/PI()</f>
        <v>0.29936324482445742</v>
      </c>
    </row>
    <row r="57" spans="2:19" x14ac:dyDescent="0.2">
      <c r="D57" t="s">
        <v>7</v>
      </c>
      <c r="E57">
        <v>0.33560000000000001</v>
      </c>
      <c r="F57">
        <v>0.33504</v>
      </c>
      <c r="G57" s="1">
        <f t="shared" si="100"/>
        <v>-1.6686531585220648E-3</v>
      </c>
      <c r="H57">
        <f>[1]test_program!$P$11</f>
        <v>0.34199616547404965</v>
      </c>
      <c r="I57" s="1">
        <f t="shared" si="101"/>
        <v>1.9058895929826108E-2</v>
      </c>
      <c r="J57" s="2">
        <f t="shared" si="145"/>
        <v>2437</v>
      </c>
      <c r="K57">
        <f t="shared" si="146"/>
        <v>0.31915775747783365</v>
      </c>
      <c r="L57" s="1">
        <f t="shared" si="4"/>
        <v>-4.8993571281782958E-2</v>
      </c>
      <c r="M57" s="19">
        <v>451.94</v>
      </c>
      <c r="N57">
        <v>2.4369999999999998</v>
      </c>
      <c r="O57">
        <v>8.0000000000000002E-3</v>
      </c>
      <c r="Q57">
        <f t="shared" ref="Q57" si="150">((E57*2*PI())^2-9.8/N57)/4*N57^2*M57</f>
        <v>285.18933949153575</v>
      </c>
      <c r="R57" s="25">
        <f t="shared" ref="R57" si="151">$A$41*M57*9.8*O57*(N57/O57)^$A$43</f>
        <v>246.49457785979095</v>
      </c>
      <c r="S57">
        <f t="shared" ref="S57" si="152">SQRT(4*R57/N57^2/M57+9.8/(N57))/2/PI()</f>
        <v>0.33341664846754043</v>
      </c>
    </row>
    <row r="58" spans="2:19" x14ac:dyDescent="0.2">
      <c r="D58" t="s">
        <v>8</v>
      </c>
      <c r="E58">
        <v>0.36730000000000002</v>
      </c>
      <c r="F58">
        <v>0.39241999999999999</v>
      </c>
      <c r="G58" s="1">
        <f t="shared" si="100"/>
        <v>6.8390961067247416E-2</v>
      </c>
      <c r="H58">
        <f>[1]test_program!$W$11</f>
        <v>0.4084847153254535</v>
      </c>
      <c r="I58" s="1">
        <f t="shared" si="101"/>
        <v>0.1121282747766226</v>
      </c>
      <c r="K58">
        <f>SQRT(K57^2*422.2/256.85*0.85^2)</f>
        <v>0.34781127791853095</v>
      </c>
      <c r="L58" s="1">
        <f t="shared" si="4"/>
        <v>-5.3059412146662308E-2</v>
      </c>
      <c r="M58" s="19">
        <v>451.94</v>
      </c>
      <c r="N58" s="20"/>
    </row>
    <row r="59" spans="2:19" x14ac:dyDescent="0.2">
      <c r="C59" t="s">
        <v>16</v>
      </c>
      <c r="D59" t="s">
        <v>6</v>
      </c>
      <c r="E59">
        <v>0.29720000000000002</v>
      </c>
      <c r="F59">
        <v>0.30109999999999998</v>
      </c>
      <c r="G59" s="1">
        <f t="shared" si="100"/>
        <v>1.3122476446837008E-2</v>
      </c>
      <c r="H59">
        <f>[1]test_program!$Q$11</f>
        <v>0.30564645447435224</v>
      </c>
      <c r="I59" s="1">
        <f t="shared" si="101"/>
        <v>2.8420102538197226E-2</v>
      </c>
      <c r="J59" s="2">
        <f t="shared" ref="J59:J60" si="153">N59*1000</f>
        <v>2827</v>
      </c>
      <c r="K59">
        <f t="shared" ref="K59:K60" si="154">1/2/PI()*SQRT(9.8*1000/J59)</f>
        <v>0.29632634564147964</v>
      </c>
      <c r="L59" s="1">
        <f t="shared" si="4"/>
        <v>-2.9396176262462366E-3</v>
      </c>
      <c r="M59" s="19">
        <v>451.94</v>
      </c>
      <c r="N59">
        <v>2.827</v>
      </c>
      <c r="O59">
        <v>8.0000000000000002E-3</v>
      </c>
      <c r="P59">
        <f t="shared" ref="P59" si="155">((E59*2*PI())^2-9.8/N59)/2*N59^2*M59</f>
        <v>36.969347760407409</v>
      </c>
      <c r="R59" s="25">
        <f t="shared" ref="R59" si="156">$A$31*M59*9.8*O59*(N59/O59)^$A$33</f>
        <v>128.97707542162283</v>
      </c>
      <c r="S59">
        <f t="shared" ref="S59" si="157">SQRT(2*R59/N59^2/M59+9.8/(N59))/2/PI()</f>
        <v>0.29936324482445742</v>
      </c>
    </row>
    <row r="60" spans="2:19" x14ac:dyDescent="0.2">
      <c r="D60" t="s">
        <v>7</v>
      </c>
      <c r="E60">
        <v>0.33050000000000002</v>
      </c>
      <c r="F60">
        <v>0.33504</v>
      </c>
      <c r="G60" s="1">
        <f t="shared" si="100"/>
        <v>1.3736762481089224E-2</v>
      </c>
      <c r="H60">
        <f>[1]test_program!$P$11</f>
        <v>0.34199616547404965</v>
      </c>
      <c r="I60" s="1">
        <f t="shared" si="101"/>
        <v>3.4784161797427035E-2</v>
      </c>
      <c r="J60" s="2">
        <f t="shared" si="153"/>
        <v>2437</v>
      </c>
      <c r="K60">
        <f t="shared" si="154"/>
        <v>0.31915775747783365</v>
      </c>
      <c r="L60" s="1">
        <f t="shared" si="4"/>
        <v>-3.4318434257689462E-2</v>
      </c>
      <c r="M60" s="19">
        <v>451.94</v>
      </c>
      <c r="N60">
        <v>2.4369999999999998</v>
      </c>
      <c r="O60">
        <v>8.0000000000000002E-3</v>
      </c>
      <c r="Q60">
        <f t="shared" ref="Q60" si="158">((E60*2*PI())^2-9.8/N60)/4*N60^2*M60</f>
        <v>195.19790082948421</v>
      </c>
      <c r="R60" s="25">
        <f t="shared" ref="R60" si="159">$A$41*M60*9.8*O60*(N60/O60)^$A$43</f>
        <v>246.49457785979095</v>
      </c>
      <c r="S60">
        <f t="shared" ref="S60" si="160">SQRT(4*R60/N60^2/M60+9.8/(N60))/2/PI()</f>
        <v>0.33341664846754043</v>
      </c>
    </row>
    <row r="61" spans="2:19" x14ac:dyDescent="0.2">
      <c r="D61" t="s">
        <v>8</v>
      </c>
      <c r="E61">
        <v>0.37140000000000001</v>
      </c>
      <c r="F61">
        <v>0.39241999999999999</v>
      </c>
      <c r="G61" s="1">
        <f t="shared" si="100"/>
        <v>5.6596661281637005E-2</v>
      </c>
      <c r="H61">
        <f>[1]test_program!$W$11</f>
        <v>0.4084847153254535</v>
      </c>
      <c r="I61" s="1">
        <f t="shared" si="101"/>
        <v>9.9851145195082092E-2</v>
      </c>
      <c r="K61">
        <f>SQRT(K60^2*422.2/256.85*0.85^2)</f>
        <v>0.34781127791853095</v>
      </c>
      <c r="L61" s="1">
        <f t="shared" si="4"/>
        <v>-6.351298352576483E-2</v>
      </c>
      <c r="M61" s="19">
        <v>451.94</v>
      </c>
      <c r="N61" s="20"/>
    </row>
    <row r="62" spans="2:19" x14ac:dyDescent="0.2">
      <c r="B62" t="s">
        <v>35</v>
      </c>
      <c r="C62" t="s">
        <v>12</v>
      </c>
      <c r="D62" t="s">
        <v>6</v>
      </c>
      <c r="E62">
        <v>0.31979999999999997</v>
      </c>
      <c r="F62">
        <v>0.32366</v>
      </c>
      <c r="G62" s="1">
        <f>(F62-E62)/E62</f>
        <v>1.2070043777360945E-2</v>
      </c>
      <c r="H62">
        <f>[1]test_program!$Q$13</f>
        <v>0.32642477081742249</v>
      </c>
      <c r="I62" s="1">
        <f>(H62-E62)/E62</f>
        <v>2.0715355901884055E-2</v>
      </c>
      <c r="J62" s="2">
        <f t="shared" ref="J62:J63" si="161">N62*1000</f>
        <v>2487</v>
      </c>
      <c r="K62">
        <f t="shared" ref="K62:K63" si="162">1/2/PI()*SQRT(9.8*1000/J62)</f>
        <v>0.31593320763455618</v>
      </c>
      <c r="L62" s="1">
        <f t="shared" si="4"/>
        <v>-1.2091283194008113E-2</v>
      </c>
      <c r="M62" s="19">
        <v>486.14</v>
      </c>
      <c r="N62">
        <v>2.4870000000000001</v>
      </c>
      <c r="O62">
        <v>8.0000000000000002E-3</v>
      </c>
      <c r="P62">
        <f t="shared" ref="P62" si="163">((E62*2*PI())^2-9.8/N62)/2*N62^2*M62</f>
        <v>145.90440980223292</v>
      </c>
      <c r="R62" s="25">
        <f t="shared" ref="R62" si="164">$A$31*M62*9.8*O62*(N62/O62)^$A$33</f>
        <v>116.28807821591117</v>
      </c>
      <c r="S62">
        <f t="shared" ref="S62" si="165">SQRT(2*R62/N62^2/M62+9.8/(N62))/2/PI()</f>
        <v>0.31901889243474496</v>
      </c>
    </row>
    <row r="63" spans="2:19" x14ac:dyDescent="0.2">
      <c r="D63" t="s">
        <v>7</v>
      </c>
      <c r="E63">
        <v>0.36520000000000002</v>
      </c>
      <c r="F63">
        <v>0.36691000000000001</v>
      </c>
      <c r="G63" s="1">
        <f t="shared" ref="G63:G73" si="166">(F63-E63)/E63</f>
        <v>4.6823658269441104E-3</v>
      </c>
      <c r="H63">
        <f>[1]test_program!$P$13</f>
        <v>0.37058814460530898</v>
      </c>
      <c r="I63" s="1">
        <f t="shared" ref="I63:I73" si="167">(H63-E63)/E63</f>
        <v>1.4753955655281908E-2</v>
      </c>
      <c r="J63" s="2">
        <f t="shared" si="161"/>
        <v>2097</v>
      </c>
      <c r="K63">
        <f t="shared" si="162"/>
        <v>0.34405981719487039</v>
      </c>
      <c r="L63" s="1">
        <f t="shared" si="4"/>
        <v>-5.7886590375491882E-2</v>
      </c>
      <c r="M63" s="19">
        <v>486.14</v>
      </c>
      <c r="N63">
        <v>2.097</v>
      </c>
      <c r="O63">
        <v>8.0000000000000002E-3</v>
      </c>
      <c r="Q63">
        <f t="shared" ref="Q63" si="168">((E63*2*PI())^2-9.8/N63)/4*N63^2*M63</f>
        <v>316.35307280276493</v>
      </c>
      <c r="R63" s="25">
        <f t="shared" ref="R63" si="169">$A$41*M63*9.8*O63*(N63/O63)^$A$43</f>
        <v>235.49790263268568</v>
      </c>
      <c r="S63">
        <f t="shared" ref="S63" si="170">SQRT(4*R63/N63^2/M63+9.8/(N63))/2/PI()</f>
        <v>0.35991502510945439</v>
      </c>
    </row>
    <row r="64" spans="2:19" x14ac:dyDescent="0.2">
      <c r="D64" t="s">
        <v>8</v>
      </c>
      <c r="E64">
        <v>0.40239999999999998</v>
      </c>
      <c r="F64">
        <v>0.42781999999999998</v>
      </c>
      <c r="G64" s="1">
        <f t="shared" si="166"/>
        <v>6.3170974155069587E-2</v>
      </c>
      <c r="H64">
        <f>[1]test_program!$W$13</f>
        <v>0.4590778970406128</v>
      </c>
      <c r="I64" s="1">
        <f t="shared" si="167"/>
        <v>0.14084964473313327</v>
      </c>
      <c r="K64">
        <f>SQRT(K63^2*456.4/256.85*0.85^2)</f>
        <v>0.38983956414175991</v>
      </c>
      <c r="L64" s="1">
        <f t="shared" si="4"/>
        <v>-3.1213806804771548E-2</v>
      </c>
      <c r="M64" s="19">
        <v>486.14</v>
      </c>
      <c r="N64" s="20"/>
    </row>
    <row r="65" spans="2:19" x14ac:dyDescent="0.2">
      <c r="C65" t="s">
        <v>14</v>
      </c>
      <c r="D65" t="s">
        <v>6</v>
      </c>
      <c r="E65">
        <v>0.32029999999999997</v>
      </c>
      <c r="F65">
        <v>0.32366</v>
      </c>
      <c r="G65" s="1">
        <f t="shared" si="166"/>
        <v>1.0490165469872088E-2</v>
      </c>
      <c r="H65">
        <f>[1]test_program!$Q$13</f>
        <v>0.32642477081742249</v>
      </c>
      <c r="I65" s="1">
        <f t="shared" si="167"/>
        <v>1.9121981946370655E-2</v>
      </c>
      <c r="J65" s="2">
        <f t="shared" ref="J65:J66" si="171">N65*1000</f>
        <v>2487</v>
      </c>
      <c r="K65">
        <f t="shared" ref="K65:K66" si="172">1/2/PI()*SQRT(9.8*1000/J65)</f>
        <v>0.31593320763455618</v>
      </c>
      <c r="L65" s="1">
        <f t="shared" si="4"/>
        <v>-1.3633444787523557E-2</v>
      </c>
      <c r="M65" s="19">
        <v>486.14</v>
      </c>
      <c r="N65">
        <v>2.4870000000000001</v>
      </c>
      <c r="O65">
        <v>8.0000000000000002E-3</v>
      </c>
      <c r="P65">
        <f t="shared" ref="P65" si="173">((E65*2*PI())^2-9.8/N65)/2*N65^2*M65</f>
        <v>164.90033714455603</v>
      </c>
      <c r="R65" s="25">
        <f t="shared" ref="R65" si="174">$A$31*M65*9.8*O65*(N65/O65)^$A$33</f>
        <v>116.28807821591117</v>
      </c>
      <c r="S65">
        <f t="shared" ref="S65" si="175">SQRT(2*R65/N65^2/M65+9.8/(N65))/2/PI()</f>
        <v>0.31901889243474496</v>
      </c>
    </row>
    <row r="66" spans="2:19" x14ac:dyDescent="0.2">
      <c r="D66" t="s">
        <v>7</v>
      </c>
      <c r="E66">
        <v>0.3594</v>
      </c>
      <c r="F66">
        <v>0.36691000000000001</v>
      </c>
      <c r="G66" s="1">
        <f t="shared" si="166"/>
        <v>2.0895937673900994E-2</v>
      </c>
      <c r="H66">
        <f>[1]test_program!$P$13</f>
        <v>0.37058814460530898</v>
      </c>
      <c r="I66" s="1">
        <f t="shared" si="167"/>
        <v>3.1130062897353868E-2</v>
      </c>
      <c r="J66" s="2">
        <f t="shared" si="171"/>
        <v>2097</v>
      </c>
      <c r="K66">
        <f t="shared" si="172"/>
        <v>0.34405981719487039</v>
      </c>
      <c r="L66" s="1">
        <f t="shared" si="4"/>
        <v>-4.2682756831189786E-2</v>
      </c>
      <c r="M66" s="19">
        <v>486.14</v>
      </c>
      <c r="N66">
        <v>2.097</v>
      </c>
      <c r="O66">
        <v>8.0000000000000002E-3</v>
      </c>
      <c r="Q66">
        <f t="shared" ref="Q66" si="176">((E66*2*PI())^2-9.8/N66)/4*N66^2*M66</f>
        <v>227.68152563461615</v>
      </c>
      <c r="R66" s="25">
        <f t="shared" ref="R66" si="177">$A$41*M66*9.8*O66*(N66/O66)^$A$43</f>
        <v>235.49790263268568</v>
      </c>
      <c r="S66">
        <f t="shared" ref="S66" si="178">SQRT(4*R66/N66^2/M66+9.8/(N66))/2/PI()</f>
        <v>0.35991502510945439</v>
      </c>
    </row>
    <row r="67" spans="2:19" x14ac:dyDescent="0.2">
      <c r="D67" t="s">
        <v>8</v>
      </c>
      <c r="E67">
        <v>0.40870000000000001</v>
      </c>
      <c r="F67">
        <v>0.42781999999999998</v>
      </c>
      <c r="G67" s="1">
        <f t="shared" si="166"/>
        <v>4.6782481037435701E-2</v>
      </c>
      <c r="H67">
        <f>[1]test_program!$W$13</f>
        <v>0.4590778970406128</v>
      </c>
      <c r="I67" s="1">
        <f t="shared" si="167"/>
        <v>0.12326375591047907</v>
      </c>
      <c r="K67">
        <f>SQRT(K66^2*456.4/256.85*0.85^2)</f>
        <v>0.38983956414175991</v>
      </c>
      <c r="L67" s="1">
        <f t="shared" si="4"/>
        <v>-4.6147384042672129E-2</v>
      </c>
      <c r="M67" s="19">
        <v>486.14</v>
      </c>
      <c r="N67" s="20"/>
    </row>
    <row r="68" spans="2:19" x14ac:dyDescent="0.2">
      <c r="C68" t="s">
        <v>15</v>
      </c>
      <c r="D68" t="s">
        <v>6</v>
      </c>
      <c r="E68">
        <v>0.32129999999999997</v>
      </c>
      <c r="F68">
        <v>0.32366</v>
      </c>
      <c r="G68" s="1">
        <f t="shared" si="166"/>
        <v>7.3451602863368473E-3</v>
      </c>
      <c r="H68">
        <f>[1]test_program!$Q$13</f>
        <v>0.32642477081742249</v>
      </c>
      <c r="I68" s="1">
        <f t="shared" si="167"/>
        <v>1.5950111476571802E-2</v>
      </c>
      <c r="J68" s="2">
        <f t="shared" ref="J68:J69" si="179">N68*1000</f>
        <v>2487</v>
      </c>
      <c r="K68">
        <f t="shared" ref="K68:K69" si="180">1/2/PI()*SQRT(9.8*1000/J68)</f>
        <v>0.31593320763455618</v>
      </c>
      <c r="L68" s="1">
        <f t="shared" si="4"/>
        <v>-1.6703368706641134E-2</v>
      </c>
      <c r="M68" s="19">
        <v>486.14</v>
      </c>
      <c r="N68">
        <v>2.4870000000000001</v>
      </c>
      <c r="O68">
        <v>8.0000000000000002E-3</v>
      </c>
      <c r="P68">
        <f t="shared" ref="P68" si="181">((E68*2*PI())^2-9.8/N68)/2*N68^2*M68</f>
        <v>202.98122132776354</v>
      </c>
      <c r="R68" s="25">
        <f t="shared" ref="R68" si="182">$A$31*M68*9.8*O68*(N68/O68)^$A$33</f>
        <v>116.28807821591117</v>
      </c>
      <c r="S68">
        <f t="shared" ref="S68" si="183">SQRT(2*R68/N68^2/M68+9.8/(N68))/2/PI()</f>
        <v>0.31901889243474496</v>
      </c>
    </row>
    <row r="69" spans="2:19" x14ac:dyDescent="0.2">
      <c r="D69" t="s">
        <v>7</v>
      </c>
      <c r="E69">
        <v>0.37109999999999999</v>
      </c>
      <c r="F69">
        <v>0.36691000000000001</v>
      </c>
      <c r="G69" s="1">
        <f t="shared" si="166"/>
        <v>-1.1290757208299574E-2</v>
      </c>
      <c r="H69">
        <f>[1]test_program!$P$13</f>
        <v>0.37058814460530898</v>
      </c>
      <c r="I69" s="1">
        <f t="shared" si="167"/>
        <v>-1.379292359717078E-3</v>
      </c>
      <c r="J69" s="2">
        <f t="shared" si="179"/>
        <v>2097</v>
      </c>
      <c r="K69">
        <f t="shared" si="180"/>
        <v>0.34405981719487039</v>
      </c>
      <c r="L69" s="1">
        <f t="shared" ref="L69:L97" si="184">(K69-E69)/E69</f>
        <v>-7.2864949623092423E-2</v>
      </c>
      <c r="M69" s="19">
        <v>486.14</v>
      </c>
      <c r="N69">
        <v>2.097</v>
      </c>
      <c r="O69">
        <v>8.0000000000000002E-3</v>
      </c>
      <c r="Q69">
        <f t="shared" ref="Q69" si="185">((E69*2*PI())^2-9.8/N69)/4*N69^2*M69</f>
        <v>408.00989060984335</v>
      </c>
      <c r="R69" s="25">
        <f t="shared" ref="R69" si="186">$A$41*M69*9.8*O69*(N69/O69)^$A$43</f>
        <v>235.49790263268568</v>
      </c>
      <c r="S69">
        <f t="shared" ref="S69" si="187">SQRT(4*R69/N69^2/M69+9.8/(N69))/2/PI()</f>
        <v>0.35991502510945439</v>
      </c>
    </row>
    <row r="70" spans="2:19" x14ac:dyDescent="0.2">
      <c r="D70" t="s">
        <v>8</v>
      </c>
      <c r="E70">
        <v>0.40989999999999999</v>
      </c>
      <c r="F70">
        <v>0.42781999999999998</v>
      </c>
      <c r="G70" s="1">
        <f t="shared" si="166"/>
        <v>4.371797999512074E-2</v>
      </c>
      <c r="H70">
        <f>[1]test_program!$W$13</f>
        <v>0.4590778970406128</v>
      </c>
      <c r="I70" s="1">
        <f t="shared" si="167"/>
        <v>0.11997535262408592</v>
      </c>
      <c r="K70">
        <f>SQRT(K69^2*456.4/256.85*0.85^2)</f>
        <v>0.38983956414175991</v>
      </c>
      <c r="L70" s="1">
        <f t="shared" si="184"/>
        <v>-4.8939828880800389E-2</v>
      </c>
      <c r="M70" s="19">
        <v>486.14</v>
      </c>
      <c r="N70" s="20"/>
    </row>
    <row r="71" spans="2:19" x14ac:dyDescent="0.2">
      <c r="C71" t="s">
        <v>16</v>
      </c>
      <c r="D71" t="s">
        <v>6</v>
      </c>
      <c r="E71">
        <v>0.3216</v>
      </c>
      <c r="F71">
        <v>0.32366</v>
      </c>
      <c r="G71" s="1">
        <f t="shared" si="166"/>
        <v>6.40547263681594E-3</v>
      </c>
      <c r="H71">
        <f>[1]test_program!$Q$13</f>
        <v>0.32642477081742249</v>
      </c>
      <c r="I71" s="1">
        <f t="shared" si="167"/>
        <v>1.5002396820343584E-2</v>
      </c>
      <c r="J71" s="2">
        <f t="shared" ref="J71:J72" si="188">N71*1000</f>
        <v>2487</v>
      </c>
      <c r="K71">
        <f t="shared" ref="K71:K72" si="189">1/2/PI()*SQRT(9.8*1000/J71)</f>
        <v>0.31593320763455618</v>
      </c>
      <c r="L71" s="1">
        <f t="shared" si="184"/>
        <v>-1.7620623026877544E-2</v>
      </c>
      <c r="M71" s="19">
        <v>486.14</v>
      </c>
      <c r="N71">
        <v>2.4870000000000001</v>
      </c>
      <c r="O71">
        <v>8.0000000000000002E-3</v>
      </c>
      <c r="P71">
        <f t="shared" ref="P71" si="190">((E71*2*PI())^2-9.8/N71)/2*N71^2*M71</f>
        <v>214.42863425235288</v>
      </c>
      <c r="R71" s="25">
        <f t="shared" ref="R71" si="191">$A$31*M71*9.8*O71*(N71/O71)^$A$33</f>
        <v>116.28807821591117</v>
      </c>
      <c r="S71">
        <f t="shared" ref="S71" si="192">SQRT(2*R71/N71^2/M71+9.8/(N71))/2/PI()</f>
        <v>0.31901889243474496</v>
      </c>
    </row>
    <row r="72" spans="2:19" x14ac:dyDescent="0.2">
      <c r="D72" t="s">
        <v>7</v>
      </c>
      <c r="E72">
        <v>0.36249999999999999</v>
      </c>
      <c r="F72">
        <v>0.36691000000000001</v>
      </c>
      <c r="G72" s="1">
        <f t="shared" si="166"/>
        <v>1.2165517241379379E-2</v>
      </c>
      <c r="H72">
        <f>[1]test_program!$P$13</f>
        <v>0.37058814460530898</v>
      </c>
      <c r="I72" s="1">
        <f t="shared" si="167"/>
        <v>2.2312123049128246E-2</v>
      </c>
      <c r="J72" s="2">
        <f t="shared" si="188"/>
        <v>2097</v>
      </c>
      <c r="K72">
        <f t="shared" si="189"/>
        <v>0.34405981719487039</v>
      </c>
      <c r="L72" s="1">
        <f t="shared" si="184"/>
        <v>-5.0869469807254077E-2</v>
      </c>
      <c r="M72" s="19">
        <v>486.14</v>
      </c>
      <c r="N72">
        <v>2.097</v>
      </c>
      <c r="O72">
        <v>8.0000000000000002E-3</v>
      </c>
      <c r="Q72">
        <f t="shared" ref="Q72" si="193">((E72*2*PI())^2-9.8/N72)/4*N72^2*M72</f>
        <v>274.89834173580067</v>
      </c>
      <c r="R72" s="25">
        <f t="shared" ref="R72" si="194">$A$41*M72*9.8*O72*(N72/O72)^$A$43</f>
        <v>235.49790263268568</v>
      </c>
      <c r="S72">
        <f t="shared" ref="S72" si="195">SQRT(4*R72/N72^2/M72+9.8/(N72))/2/PI()</f>
        <v>0.35991502510945439</v>
      </c>
    </row>
    <row r="73" spans="2:19" x14ac:dyDescent="0.2">
      <c r="D73" t="s">
        <v>8</v>
      </c>
      <c r="E73">
        <v>0.41760000000000003</v>
      </c>
      <c r="F73">
        <v>0.42781999999999998</v>
      </c>
      <c r="G73" s="1">
        <f t="shared" si="166"/>
        <v>2.4473180076628236E-2</v>
      </c>
      <c r="H73">
        <f>[1]test_program!$W$13</f>
        <v>0.4590778970406128</v>
      </c>
      <c r="I73" s="1">
        <f t="shared" si="167"/>
        <v>9.9324466093421396E-2</v>
      </c>
      <c r="K73">
        <f>SQRT(K72^2*456.4/256.85*0.85^2)</f>
        <v>0.38983956414175991</v>
      </c>
      <c r="L73" s="1">
        <f t="shared" si="184"/>
        <v>-6.6476139507279972E-2</v>
      </c>
      <c r="M73" s="19">
        <v>486.14</v>
      </c>
      <c r="N73" s="20"/>
    </row>
    <row r="74" spans="2:19" x14ac:dyDescent="0.2">
      <c r="B74" t="s">
        <v>36</v>
      </c>
      <c r="C74" t="s">
        <v>12</v>
      </c>
      <c r="D74" t="s">
        <v>6</v>
      </c>
      <c r="E74">
        <v>0.28699999999999998</v>
      </c>
      <c r="F74">
        <v>0.28936000000000001</v>
      </c>
      <c r="G74" s="1">
        <f>(F74-E74)/E74</f>
        <v>8.222996515679544E-3</v>
      </c>
      <c r="H74">
        <f>[1]test_program!$Q$14</f>
        <v>0.29118346034685305</v>
      </c>
      <c r="I74" s="1">
        <f>(H74-E74)/E74</f>
        <v>1.4576516887989806E-2</v>
      </c>
      <c r="J74" s="2">
        <f t="shared" ref="J74:J75" si="196">N74*1000</f>
        <v>3087</v>
      </c>
      <c r="K74">
        <f t="shared" ref="K74:K75" si="197">1/2/PI()*SQRT(9.8*1000/J74)</f>
        <v>0.28357298498160782</v>
      </c>
      <c r="L74" s="1">
        <f t="shared" si="184"/>
        <v>-1.1940818879415173E-2</v>
      </c>
      <c r="M74" s="19">
        <v>486.14</v>
      </c>
      <c r="N74">
        <v>3.0870000000000002</v>
      </c>
      <c r="O74">
        <v>8.0000000000000002E-3</v>
      </c>
      <c r="P74">
        <f t="shared" ref="P74" si="198">((E74*2*PI())^2-9.8/N74)/2*N74^2*M74</f>
        <v>178.8099037985653</v>
      </c>
      <c r="R74" s="25">
        <f t="shared" ref="R74" si="199">$A$31*M74*9.8*O74*(N74/O74)^$A$33</f>
        <v>156.61325154126459</v>
      </c>
      <c r="S74">
        <f t="shared" ref="S74" si="200">SQRT(2*R74/N74^2/M74+9.8/(N74))/2/PI()</f>
        <v>0.28657681376352273</v>
      </c>
    </row>
    <row r="75" spans="2:19" x14ac:dyDescent="0.2">
      <c r="D75" t="s">
        <v>7</v>
      </c>
      <c r="E75">
        <v>0.31590000000000001</v>
      </c>
      <c r="F75">
        <v>0.31905</v>
      </c>
      <c r="G75" s="1">
        <f t="shared" ref="G75:G97" si="201">(F75-E75)/E75</f>
        <v>9.971509971509928E-3</v>
      </c>
      <c r="H75">
        <f>[1]test_program!$P$14</f>
        <v>0.32171919982072511</v>
      </c>
      <c r="I75" s="1">
        <f t="shared" ref="I75:I97" si="202">(H75-E75)/E75</f>
        <v>1.8421018742402963E-2</v>
      </c>
      <c r="J75" s="2">
        <f t="shared" si="196"/>
        <v>2697</v>
      </c>
      <c r="K75">
        <f t="shared" si="197"/>
        <v>0.30338401622221361</v>
      </c>
      <c r="L75" s="1">
        <f t="shared" si="184"/>
        <v>-3.9620081601096542E-2</v>
      </c>
      <c r="M75" s="19">
        <v>486.14</v>
      </c>
      <c r="N75">
        <v>2.6970000000000001</v>
      </c>
      <c r="O75">
        <v>8.0000000000000002E-3</v>
      </c>
      <c r="Q75">
        <f t="shared" ref="Q75" si="203">((E75*2*PI())^2-9.8/N75)/4*N75^2*M75</f>
        <v>270.50659484240788</v>
      </c>
      <c r="R75" s="25">
        <f t="shared" ref="R75" si="204">$A$41*M75*9.8*O75*(N75/O75)^$A$43</f>
        <v>287.23198875558728</v>
      </c>
      <c r="S75">
        <f t="shared" ref="S75" si="205">SQRT(4*R75/N75^2/M75+9.8/(N75))/2/PI()</f>
        <v>0.31665762320152646</v>
      </c>
    </row>
    <row r="76" spans="2:19" x14ac:dyDescent="0.2">
      <c r="D76" t="s">
        <v>8</v>
      </c>
      <c r="E76">
        <v>0.35539999999999999</v>
      </c>
      <c r="F76">
        <v>0.37579000000000001</v>
      </c>
      <c r="G76" s="1">
        <f t="shared" si="201"/>
        <v>5.7371975239167192E-2</v>
      </c>
      <c r="H76">
        <f>[1]test_program!$W$14</f>
        <v>0.39853993129917126</v>
      </c>
      <c r="I76" s="1">
        <f t="shared" si="202"/>
        <v>0.12138416234994728</v>
      </c>
      <c r="K76">
        <f>SQRT(K75^2*456.4/256.85*0.85^2)</f>
        <v>0.34375154185662243</v>
      </c>
      <c r="L76" s="1">
        <f t="shared" si="184"/>
        <v>-3.2775627865440519E-2</v>
      </c>
      <c r="M76" s="19">
        <v>486.14</v>
      </c>
    </row>
    <row r="77" spans="2:19" x14ac:dyDescent="0.2">
      <c r="C77" t="s">
        <v>14</v>
      </c>
      <c r="D77" t="s">
        <v>6</v>
      </c>
      <c r="E77">
        <v>0.28689999999999999</v>
      </c>
      <c r="F77">
        <v>0.28936000000000001</v>
      </c>
      <c r="G77" s="1">
        <f t="shared" si="201"/>
        <v>8.5744161728826002E-3</v>
      </c>
      <c r="H77">
        <f>[1]test_program!$Q$14</f>
        <v>0.29118346034685305</v>
      </c>
      <c r="I77" s="1">
        <f t="shared" si="202"/>
        <v>1.4930151086974775E-2</v>
      </c>
      <c r="J77" s="2">
        <f t="shared" ref="J77:J78" si="206">N77*1000</f>
        <v>3087</v>
      </c>
      <c r="K77">
        <f t="shared" ref="K77:K78" si="207">1/2/PI()*SQRT(9.8*1000/J77)</f>
        <v>0.28357298498160782</v>
      </c>
      <c r="L77" s="1">
        <f t="shared" si="184"/>
        <v>-1.1596427390701169E-2</v>
      </c>
      <c r="M77" s="19">
        <v>486.14</v>
      </c>
      <c r="N77">
        <v>3.0870000000000002</v>
      </c>
      <c r="O77">
        <v>8.0000000000000002E-3</v>
      </c>
      <c r="P77">
        <f t="shared" ref="P77" si="208">((E77*2*PI())^2-9.8/N77)/2*N77^2*M77</f>
        <v>173.56182217015049</v>
      </c>
      <c r="R77" s="25">
        <f t="shared" ref="R77" si="209">$A$31*M77*9.8*O77*(N77/O77)^$A$33</f>
        <v>156.61325154126459</v>
      </c>
      <c r="S77">
        <f t="shared" ref="S77" si="210">SQRT(2*R77/N77^2/M77+9.8/(N77))/2/PI()</f>
        <v>0.28657681376352273</v>
      </c>
    </row>
    <row r="78" spans="2:19" x14ac:dyDescent="0.2">
      <c r="D78" t="s">
        <v>7</v>
      </c>
      <c r="E78">
        <v>0.3105</v>
      </c>
      <c r="F78">
        <v>0.31905</v>
      </c>
      <c r="G78" s="1">
        <f t="shared" si="201"/>
        <v>2.7536231884057977E-2</v>
      </c>
      <c r="H78">
        <f>[1]test_program!$P$14</f>
        <v>0.32171919982072511</v>
      </c>
      <c r="I78" s="1">
        <f t="shared" si="202"/>
        <v>3.6132688633575237E-2</v>
      </c>
      <c r="J78" s="2">
        <f t="shared" si="206"/>
        <v>2697</v>
      </c>
      <c r="K78">
        <f t="shared" si="207"/>
        <v>0.30338401622221361</v>
      </c>
      <c r="L78" s="1">
        <f t="shared" si="184"/>
        <v>-2.2917822150680785E-2</v>
      </c>
      <c r="M78" s="19">
        <v>486.14</v>
      </c>
      <c r="N78">
        <v>2.6970000000000001</v>
      </c>
      <c r="O78">
        <v>8.0000000000000002E-3</v>
      </c>
      <c r="Q78">
        <f t="shared" ref="Q78" si="211">((E78*2*PI())^2-9.8/N78)/4*N78^2*M78</f>
        <v>152.45591191809785</v>
      </c>
      <c r="R78" s="25">
        <f t="shared" ref="R78" si="212">$A$41*M78*9.8*O78*(N78/O78)^$A$43</f>
        <v>287.23198875558728</v>
      </c>
      <c r="S78">
        <f t="shared" ref="S78" si="213">SQRT(4*R78/N78^2/M78+9.8/(N78))/2/PI()</f>
        <v>0.31665762320152646</v>
      </c>
    </row>
    <row r="79" spans="2:19" x14ac:dyDescent="0.2">
      <c r="D79" t="s">
        <v>8</v>
      </c>
      <c r="E79">
        <v>0.35589999999999999</v>
      </c>
      <c r="F79">
        <v>0.37579000000000001</v>
      </c>
      <c r="G79" s="1">
        <f t="shared" si="201"/>
        <v>5.5886484967687604E-2</v>
      </c>
      <c r="H79">
        <f>[1]test_program!$W$14</f>
        <v>0.39853993129917126</v>
      </c>
      <c r="I79" s="1">
        <f t="shared" si="202"/>
        <v>0.1198087420600485</v>
      </c>
      <c r="K79">
        <f>SQRT(K78^2*456.4/256.85*0.85^2)</f>
        <v>0.34375154185662243</v>
      </c>
      <c r="L79" s="1">
        <f t="shared" si="184"/>
        <v>-3.4134470759700927E-2</v>
      </c>
      <c r="M79" s="19">
        <v>486.14</v>
      </c>
    </row>
    <row r="80" spans="2:19" x14ac:dyDescent="0.2">
      <c r="C80" t="s">
        <v>15</v>
      </c>
      <c r="D80" t="s">
        <v>6</v>
      </c>
      <c r="E80">
        <v>0.28760000000000002</v>
      </c>
      <c r="F80">
        <v>0.28936000000000001</v>
      </c>
      <c r="G80" s="1">
        <f t="shared" si="201"/>
        <v>6.1196105702363826E-3</v>
      </c>
      <c r="H80">
        <f>[1]test_program!$Q$14</f>
        <v>0.29118346034685305</v>
      </c>
      <c r="I80" s="1">
        <f t="shared" si="202"/>
        <v>1.2459876032173257E-2</v>
      </c>
      <c r="J80" s="2">
        <f t="shared" ref="J80:J81" si="214">N80*1000</f>
        <v>3087</v>
      </c>
      <c r="K80">
        <f t="shared" ref="K80:K81" si="215">1/2/PI()*SQRT(9.8*1000/J80)</f>
        <v>0.28357298498160782</v>
      </c>
      <c r="L80" s="1">
        <f t="shared" si="184"/>
        <v>-1.4002138450598745E-2</v>
      </c>
      <c r="M80" s="19">
        <v>486.14</v>
      </c>
      <c r="N80">
        <v>3.0870000000000002</v>
      </c>
      <c r="O80">
        <v>8.0000000000000002E-3</v>
      </c>
      <c r="P80">
        <f t="shared" ref="P80" si="216">((E80*2*PI())^2-9.8/N80)/2*N80^2*M80</f>
        <v>210.3368008575091</v>
      </c>
      <c r="R80" s="25">
        <f t="shared" ref="R80" si="217">$A$31*M80*9.8*O80*(N80/O80)^$A$33</f>
        <v>156.61325154126459</v>
      </c>
      <c r="S80">
        <f t="shared" ref="S80" si="218">SQRT(2*R80/N80^2/M80+9.8/(N80))/2/PI()</f>
        <v>0.28657681376352273</v>
      </c>
    </row>
    <row r="81" spans="2:19" x14ac:dyDescent="0.2">
      <c r="D81" t="s">
        <v>7</v>
      </c>
      <c r="E81">
        <v>0.31730000000000003</v>
      </c>
      <c r="F81">
        <v>0.31905</v>
      </c>
      <c r="G81" s="1">
        <f t="shared" si="201"/>
        <v>5.5152852190355301E-3</v>
      </c>
      <c r="H81">
        <f>[1]test_program!$P$14</f>
        <v>0.32171919982072511</v>
      </c>
      <c r="I81" s="1">
        <f t="shared" si="202"/>
        <v>1.392751282926279E-2</v>
      </c>
      <c r="J81" s="2">
        <f t="shared" si="214"/>
        <v>2697</v>
      </c>
      <c r="K81">
        <f t="shared" si="215"/>
        <v>0.30338401622221361</v>
      </c>
      <c r="L81" s="1">
        <f t="shared" si="184"/>
        <v>-4.3857496935979866E-2</v>
      </c>
      <c r="M81" s="19">
        <v>486.14</v>
      </c>
      <c r="N81">
        <v>2.6970000000000001</v>
      </c>
      <c r="O81">
        <v>8.0000000000000002E-3</v>
      </c>
      <c r="Q81">
        <f t="shared" ref="Q81" si="219">((E81*2*PI())^2-9.8/N81)/4*N81^2*M81</f>
        <v>301.4445735918593</v>
      </c>
      <c r="R81" s="25">
        <f t="shared" ref="R81" si="220">$A$41*M81*9.8*O81*(N81/O81)^$A$43</f>
        <v>287.23198875558728</v>
      </c>
      <c r="S81">
        <f t="shared" ref="S81" si="221">SQRT(4*R81/N81^2/M81+9.8/(N81))/2/PI()</f>
        <v>0.31665762320152646</v>
      </c>
    </row>
    <row r="82" spans="2:19" x14ac:dyDescent="0.2">
      <c r="D82" t="s">
        <v>8</v>
      </c>
      <c r="E82">
        <v>0.35649999999999998</v>
      </c>
      <c r="F82">
        <v>0.37579000000000001</v>
      </c>
      <c r="G82" s="1">
        <f t="shared" si="201"/>
        <v>5.4109396914446085E-2</v>
      </c>
      <c r="H82">
        <f>[1]test_program!$W$14</f>
        <v>0.39853993129917126</v>
      </c>
      <c r="I82" s="1">
        <f t="shared" si="202"/>
        <v>0.11792407096541732</v>
      </c>
      <c r="K82">
        <f>SQRT(K81^2*456.4/256.85*0.85^2)</f>
        <v>0.34375154185662243</v>
      </c>
      <c r="L82" s="1">
        <f t="shared" si="184"/>
        <v>-3.5760050893064659E-2</v>
      </c>
      <c r="M82" s="19">
        <v>486.14</v>
      </c>
    </row>
    <row r="83" spans="2:19" x14ac:dyDescent="0.2">
      <c r="C83" t="s">
        <v>16</v>
      </c>
      <c r="D83" t="s">
        <v>6</v>
      </c>
      <c r="E83">
        <v>0.28699999999999998</v>
      </c>
      <c r="F83">
        <v>0.28936000000000001</v>
      </c>
      <c r="G83" s="1">
        <f t="shared" si="201"/>
        <v>8.222996515679544E-3</v>
      </c>
      <c r="H83">
        <f>[1]test_program!$Q$14</f>
        <v>0.29118346034685305</v>
      </c>
      <c r="I83" s="1">
        <f t="shared" si="202"/>
        <v>1.4576516887989806E-2</v>
      </c>
      <c r="J83" s="2">
        <f t="shared" ref="J83:J84" si="222">N83*1000</f>
        <v>3087</v>
      </c>
      <c r="K83">
        <f t="shared" ref="K83:K84" si="223">1/2/PI()*SQRT(9.8*1000/J83)</f>
        <v>0.28357298498160782</v>
      </c>
      <c r="L83" s="1">
        <f t="shared" si="184"/>
        <v>-1.1940818879415173E-2</v>
      </c>
      <c r="M83" s="19">
        <v>486.14</v>
      </c>
      <c r="N83">
        <v>3.0870000000000002</v>
      </c>
      <c r="O83">
        <v>8.0000000000000002E-3</v>
      </c>
      <c r="P83">
        <f t="shared" ref="P83" si="224">((E83*2*PI())^2-9.8/N83)/2*N83^2*M83</f>
        <v>178.8099037985653</v>
      </c>
      <c r="R83" s="25">
        <f t="shared" ref="R83" si="225">$A$31*M83*9.8*O83*(N83/O83)^$A$33</f>
        <v>156.61325154126459</v>
      </c>
      <c r="S83">
        <f t="shared" ref="S83" si="226">SQRT(2*R83/N83^2/M83+9.8/(N83))/2/PI()</f>
        <v>0.28657681376352273</v>
      </c>
    </row>
    <row r="84" spans="2:19" x14ac:dyDescent="0.2">
      <c r="D84" t="s">
        <v>7</v>
      </c>
      <c r="E84">
        <v>0.31890000000000002</v>
      </c>
      <c r="F84">
        <v>0.31905</v>
      </c>
      <c r="G84" s="1">
        <f t="shared" si="201"/>
        <v>4.7036688617116174E-4</v>
      </c>
      <c r="H84">
        <f>[1]test_program!$P$14</f>
        <v>0.32171919982072511</v>
      </c>
      <c r="I84" s="1">
        <f t="shared" si="202"/>
        <v>8.8403882744593713E-3</v>
      </c>
      <c r="J84" s="2">
        <f t="shared" si="222"/>
        <v>2697</v>
      </c>
      <c r="K84">
        <f t="shared" si="223"/>
        <v>0.30338401622221361</v>
      </c>
      <c r="L84" s="1">
        <f t="shared" si="184"/>
        <v>-4.8654699836269681E-2</v>
      </c>
      <c r="M84" s="19">
        <v>486.14</v>
      </c>
      <c r="N84">
        <v>2.6970000000000001</v>
      </c>
      <c r="O84">
        <v>8.0000000000000002E-3</v>
      </c>
      <c r="Q84">
        <f t="shared" ref="Q84" si="227">((E84*2*PI())^2-9.8/N84)/4*N84^2*M84</f>
        <v>336.96978265313584</v>
      </c>
      <c r="R84" s="25">
        <f t="shared" ref="R84" si="228">$A$41*M84*9.8*O84*(N84/O84)^$A$43</f>
        <v>287.23198875558728</v>
      </c>
      <c r="S84">
        <f t="shared" ref="S84" si="229">SQRT(4*R84/N84^2/M84+9.8/(N84))/2/PI()</f>
        <v>0.31665762320152646</v>
      </c>
    </row>
    <row r="85" spans="2:19" x14ac:dyDescent="0.2">
      <c r="D85" t="s">
        <v>8</v>
      </c>
      <c r="E85">
        <v>0.35649999999999998</v>
      </c>
      <c r="F85">
        <v>0.37579000000000001</v>
      </c>
      <c r="G85" s="1">
        <f t="shared" si="201"/>
        <v>5.4109396914446085E-2</v>
      </c>
      <c r="H85">
        <f>[1]test_program!$W$14</f>
        <v>0.39853993129917126</v>
      </c>
      <c r="I85" s="1">
        <f t="shared" si="202"/>
        <v>0.11792407096541732</v>
      </c>
      <c r="K85">
        <f>SQRT(K84^2*456.4/256.85*0.85^2)</f>
        <v>0.34375154185662243</v>
      </c>
      <c r="L85" s="1">
        <f t="shared" si="184"/>
        <v>-3.5760050893064659E-2</v>
      </c>
      <c r="M85" s="19">
        <v>486.14</v>
      </c>
    </row>
    <row r="86" spans="2:19" x14ac:dyDescent="0.2">
      <c r="B86" t="s">
        <v>37</v>
      </c>
      <c r="C86" t="s">
        <v>12</v>
      </c>
      <c r="D86" t="s">
        <v>6</v>
      </c>
      <c r="E86">
        <v>0.28789999999999999</v>
      </c>
      <c r="F86">
        <v>0.28946</v>
      </c>
      <c r="G86" s="1">
        <f t="shared" si="201"/>
        <v>5.4185481069816115E-3</v>
      </c>
      <c r="H86">
        <f>[1]test_program!$Q$15</f>
        <v>0.29118346034685305</v>
      </c>
      <c r="I86" s="1">
        <f t="shared" si="202"/>
        <v>1.1404864004352422E-2</v>
      </c>
      <c r="J86" s="2">
        <f t="shared" ref="J86:J87" si="230">N86*1000</f>
        <v>3087</v>
      </c>
      <c r="K86">
        <f t="shared" ref="K86:K87" si="231">1/2/PI()*SQRT(9.8*1000/J86)</f>
        <v>0.28357298498160782</v>
      </c>
      <c r="L86" s="1">
        <f t="shared" si="184"/>
        <v>-1.5029576305634479E-2</v>
      </c>
      <c r="M86" s="19">
        <v>486.14</v>
      </c>
      <c r="N86">
        <v>3.0870000000000002</v>
      </c>
      <c r="O86">
        <v>8.0000000000000002E-3</v>
      </c>
      <c r="P86">
        <f t="shared" ref="P86" si="232">((E86*2*PI())^2-9.8/N86)/2*N86^2*M86</f>
        <v>226.12493978669326</v>
      </c>
      <c r="R86" s="25">
        <f t="shared" ref="R86" si="233">$A$31*M86*9.8*O86*(N86/O86)^$A$33</f>
        <v>156.61325154126459</v>
      </c>
      <c r="S86">
        <f t="shared" ref="S86" si="234">SQRT(2*R86/N86^2/M86+9.8/(N86))/2/PI()</f>
        <v>0.28657681376352273</v>
      </c>
    </row>
    <row r="87" spans="2:19" x14ac:dyDescent="0.2">
      <c r="D87" t="s">
        <v>7</v>
      </c>
      <c r="E87">
        <v>0.31680000000000003</v>
      </c>
      <c r="F87">
        <v>0.31907000000000002</v>
      </c>
      <c r="G87" s="1">
        <f t="shared" si="201"/>
        <v>7.1654040404040215E-3</v>
      </c>
      <c r="H87">
        <f>[1]test_program!$P$15</f>
        <v>0.32171919982072511</v>
      </c>
      <c r="I87" s="1">
        <f t="shared" si="202"/>
        <v>1.5527777211884735E-2</v>
      </c>
      <c r="J87" s="2">
        <f t="shared" si="230"/>
        <v>2697</v>
      </c>
      <c r="K87">
        <f t="shared" si="231"/>
        <v>0.30338401622221361</v>
      </c>
      <c r="L87" s="1">
        <f t="shared" si="184"/>
        <v>-4.234843364200256E-2</v>
      </c>
      <c r="M87" s="19">
        <v>486.14</v>
      </c>
      <c r="N87">
        <v>2.6970000000000001</v>
      </c>
      <c r="O87">
        <v>8.0000000000000002E-3</v>
      </c>
      <c r="Q87">
        <f t="shared" ref="Q87" si="235">((E87*2*PI())^2-9.8/N87)/4*N87^2*M87</f>
        <v>290.37959055500187</v>
      </c>
      <c r="R87" s="25">
        <f t="shared" ref="R87" si="236">$A$41*M87*9.8*O87*(N87/O87)^$A$43</f>
        <v>287.23198875558728</v>
      </c>
      <c r="S87">
        <f t="shared" ref="S87" si="237">SQRT(4*R87/N87^2/M87+9.8/(N87))/2/PI()</f>
        <v>0.31665762320152646</v>
      </c>
    </row>
    <row r="88" spans="2:19" x14ac:dyDescent="0.2">
      <c r="D88" t="s">
        <v>8</v>
      </c>
      <c r="E88">
        <v>0.35580000000000001</v>
      </c>
      <c r="F88">
        <v>0.37572</v>
      </c>
      <c r="G88" s="1">
        <f t="shared" si="201"/>
        <v>5.5986509274873503E-2</v>
      </c>
      <c r="H88">
        <f>[1]test_program!$W$15</f>
        <v>0.39853993129917126</v>
      </c>
      <c r="I88" s="1">
        <f t="shared" si="202"/>
        <v>0.12012347189199341</v>
      </c>
      <c r="K88">
        <f>SQRT(K87^2*456.4/256.85*0.85^2)</f>
        <v>0.34375154185662243</v>
      </c>
      <c r="L88" s="1">
        <f t="shared" si="184"/>
        <v>-3.3863007710448485E-2</v>
      </c>
      <c r="M88" s="19">
        <v>486.14</v>
      </c>
    </row>
    <row r="89" spans="2:19" x14ac:dyDescent="0.2">
      <c r="C89" t="s">
        <v>14</v>
      </c>
      <c r="D89" t="s">
        <v>6</v>
      </c>
      <c r="E89">
        <v>0.2868</v>
      </c>
      <c r="F89">
        <v>0.28946</v>
      </c>
      <c r="G89" s="1">
        <f t="shared" si="201"/>
        <v>9.2747559274755781E-3</v>
      </c>
      <c r="H89">
        <f>[1]test_program!$Q$15</f>
        <v>0.29118346034685305</v>
      </c>
      <c r="I89" s="1">
        <f t="shared" si="202"/>
        <v>1.5284031892793069E-2</v>
      </c>
      <c r="J89" s="2">
        <f t="shared" ref="J89:J90" si="238">N89*1000</f>
        <v>3087</v>
      </c>
      <c r="K89">
        <f t="shared" ref="K89:K90" si="239">1/2/PI()*SQRT(9.8*1000/J89)</f>
        <v>0.28357298498160782</v>
      </c>
      <c r="L89" s="1">
        <f t="shared" si="184"/>
        <v>-1.1251795740558495E-2</v>
      </c>
      <c r="M89" s="19">
        <v>486.14</v>
      </c>
      <c r="N89">
        <v>3.0870000000000002</v>
      </c>
      <c r="O89">
        <v>8.0000000000000002E-3</v>
      </c>
      <c r="P89">
        <f t="shared" ref="P89" si="240">((E89*2*PI())^2-9.8/N89)/2*N89^2*M89</f>
        <v>168.31556946023198</v>
      </c>
      <c r="R89" s="25">
        <f t="shared" ref="R89" si="241">$A$31*M89*9.8*O89*(N89/O89)^$A$33</f>
        <v>156.61325154126459</v>
      </c>
      <c r="S89">
        <f t="shared" ref="S89" si="242">SQRT(2*R89/N89^2/M89+9.8/(N89))/2/PI()</f>
        <v>0.28657681376352273</v>
      </c>
    </row>
    <row r="90" spans="2:19" x14ac:dyDescent="0.2">
      <c r="D90" t="s">
        <v>7</v>
      </c>
      <c r="E90">
        <v>0.31469999999999998</v>
      </c>
      <c r="F90">
        <v>0.31907000000000002</v>
      </c>
      <c r="G90" s="1">
        <f t="shared" si="201"/>
        <v>1.3886240864315351E-2</v>
      </c>
      <c r="H90">
        <f>[1]test_program!$P$15</f>
        <v>0.32171919982072511</v>
      </c>
      <c r="I90" s="1">
        <f t="shared" si="202"/>
        <v>2.2304416335319769E-2</v>
      </c>
      <c r="J90" s="2">
        <f t="shared" si="238"/>
        <v>2697</v>
      </c>
      <c r="K90">
        <f t="shared" si="239"/>
        <v>0.30338401622221361</v>
      </c>
      <c r="L90" s="1">
        <f t="shared" si="184"/>
        <v>-3.5958003742568689E-2</v>
      </c>
      <c r="M90" s="19">
        <v>486.14</v>
      </c>
      <c r="N90">
        <v>2.6970000000000001</v>
      </c>
      <c r="O90">
        <v>8.0000000000000002E-3</v>
      </c>
      <c r="Q90">
        <f t="shared" ref="Q90" si="243">((E90*2*PI())^2-9.8/N90)/4*N90^2*M90</f>
        <v>244.09721473311643</v>
      </c>
      <c r="R90" s="25">
        <f t="shared" ref="R90" si="244">$A$41*M90*9.8*O90*(N90/O90)^$A$43</f>
        <v>287.23198875558728</v>
      </c>
      <c r="S90">
        <f t="shared" ref="S90" si="245">SQRT(4*R90/N90^2/M90+9.8/(N90))/2/PI()</f>
        <v>0.31665762320152646</v>
      </c>
    </row>
    <row r="91" spans="2:19" x14ac:dyDescent="0.2">
      <c r="D91" t="s">
        <v>8</v>
      </c>
      <c r="E91">
        <v>0.35339999999999999</v>
      </c>
      <c r="F91">
        <v>0.37572</v>
      </c>
      <c r="G91" s="1">
        <f t="shared" si="201"/>
        <v>6.3157894736842121E-2</v>
      </c>
      <c r="H91">
        <f>[1]test_program!$W$15</f>
        <v>0.39853993129917126</v>
      </c>
      <c r="I91" s="1">
        <f t="shared" si="202"/>
        <v>0.12773042246511393</v>
      </c>
      <c r="K91">
        <f>SQRT(K90^2*456.4/256.85*0.85^2)</f>
        <v>0.34375154185662243</v>
      </c>
      <c r="L91" s="1">
        <f t="shared" si="184"/>
        <v>-2.7301805725459986E-2</v>
      </c>
      <c r="M91" s="19">
        <v>486.14</v>
      </c>
    </row>
    <row r="92" spans="2:19" x14ac:dyDescent="0.2">
      <c r="C92" t="s">
        <v>15</v>
      </c>
      <c r="D92" t="s">
        <v>6</v>
      </c>
      <c r="E92">
        <v>0.2873</v>
      </c>
      <c r="F92">
        <v>0.28946</v>
      </c>
      <c r="G92" s="1">
        <f t="shared" si="201"/>
        <v>7.5182735816219813E-3</v>
      </c>
      <c r="H92">
        <f>[1]test_program!$Q$15</f>
        <v>0.29118346034685305</v>
      </c>
      <c r="I92" s="1">
        <f t="shared" si="202"/>
        <v>1.3517091356954582E-2</v>
      </c>
      <c r="J92" s="2">
        <f t="shared" ref="J92:J93" si="246">N92*1000</f>
        <v>3087</v>
      </c>
      <c r="K92">
        <f t="shared" ref="K92:K93" si="247">1/2/PI()*SQRT(9.8*1000/J92)</f>
        <v>0.28357298498160782</v>
      </c>
      <c r="L92" s="1">
        <f t="shared" si="184"/>
        <v>-1.297255488476219E-2</v>
      </c>
      <c r="M92" s="19">
        <v>486.14</v>
      </c>
      <c r="N92">
        <v>3.0870000000000002</v>
      </c>
      <c r="O92">
        <v>8.0000000000000002E-3</v>
      </c>
      <c r="P92">
        <f t="shared" ref="P92" si="248">((E92*2*PI())^2-9.8/N92)/2*N92^2*M92</f>
        <v>194.56512219479873</v>
      </c>
      <c r="R92" s="25">
        <f t="shared" ref="R92" si="249">$A$31*M92*9.8*O92*(N92/O92)^$A$33</f>
        <v>156.61325154126459</v>
      </c>
      <c r="S92">
        <f t="shared" ref="S92" si="250">SQRT(2*R92/N92^2/M92+9.8/(N92))/2/PI()</f>
        <v>0.28657681376352273</v>
      </c>
    </row>
    <row r="93" spans="2:19" x14ac:dyDescent="0.2">
      <c r="D93" t="s">
        <v>7</v>
      </c>
      <c r="E93">
        <v>0.31680000000000003</v>
      </c>
      <c r="F93">
        <v>0.31907000000000002</v>
      </c>
      <c r="G93" s="1">
        <f t="shared" si="201"/>
        <v>7.1654040404040215E-3</v>
      </c>
      <c r="H93">
        <f>[1]test_program!$P$15</f>
        <v>0.32171919982072511</v>
      </c>
      <c r="I93" s="1">
        <f t="shared" si="202"/>
        <v>1.5527777211884735E-2</v>
      </c>
      <c r="J93" s="2">
        <f t="shared" si="246"/>
        <v>2697</v>
      </c>
      <c r="K93">
        <f t="shared" si="247"/>
        <v>0.30338401622221361</v>
      </c>
      <c r="L93" s="1">
        <f t="shared" si="184"/>
        <v>-4.234843364200256E-2</v>
      </c>
      <c r="M93" s="19">
        <v>486.14</v>
      </c>
      <c r="N93">
        <v>2.6970000000000001</v>
      </c>
      <c r="O93">
        <v>8.0000000000000002E-3</v>
      </c>
      <c r="Q93">
        <f t="shared" ref="Q93" si="251">((E93*2*PI())^2-9.8/N93)/4*N93^2*M93</f>
        <v>290.37959055500187</v>
      </c>
      <c r="R93" s="25">
        <f t="shared" ref="R93" si="252">$A$41*M93*9.8*O93*(N93/O93)^$A$43</f>
        <v>287.23198875558728</v>
      </c>
      <c r="S93">
        <f t="shared" ref="S93" si="253">SQRT(4*R93/N93^2/M93+9.8/(N93))/2/PI()</f>
        <v>0.31665762320152646</v>
      </c>
    </row>
    <row r="94" spans="2:19" x14ac:dyDescent="0.2">
      <c r="D94" t="s">
        <v>8</v>
      </c>
      <c r="E94">
        <v>0.35349999999999998</v>
      </c>
      <c r="F94">
        <v>0.37572</v>
      </c>
      <c r="G94" s="1">
        <f t="shared" si="201"/>
        <v>6.2857142857142917E-2</v>
      </c>
      <c r="H94">
        <f>[1]test_program!$W$15</f>
        <v>0.39853993129917126</v>
      </c>
      <c r="I94" s="1">
        <f t="shared" si="202"/>
        <v>0.1274114039580517</v>
      </c>
      <c r="K94">
        <f>SQRT(K93^2*456.4/256.85*0.85^2)</f>
        <v>0.34375154185662243</v>
      </c>
      <c r="L94" s="1">
        <f t="shared" si="184"/>
        <v>-2.7576967873769585E-2</v>
      </c>
      <c r="M94" s="19">
        <v>486.14</v>
      </c>
    </row>
    <row r="95" spans="2:19" x14ac:dyDescent="0.2">
      <c r="C95" t="s">
        <v>16</v>
      </c>
      <c r="D95" t="s">
        <v>6</v>
      </c>
      <c r="E95">
        <v>0.28739999999999999</v>
      </c>
      <c r="F95">
        <v>0.28946</v>
      </c>
      <c r="G95" s="1">
        <f t="shared" si="201"/>
        <v>7.1677105080028055E-3</v>
      </c>
      <c r="H95">
        <f>[1]test_program!$Q$15</f>
        <v>0.29118346034685305</v>
      </c>
      <c r="I95" s="1">
        <f t="shared" si="202"/>
        <v>1.3164441012014833E-2</v>
      </c>
      <c r="J95" s="2">
        <f t="shared" ref="J95:J96" si="254">N95*1000</f>
        <v>3087</v>
      </c>
      <c r="K95">
        <f t="shared" ref="K95:K96" si="255">1/2/PI()*SQRT(9.8*1000/J95)</f>
        <v>0.28357298498160782</v>
      </c>
      <c r="L95" s="1">
        <f t="shared" si="184"/>
        <v>-1.3315988233793201E-2</v>
      </c>
      <c r="M95" s="19">
        <v>486.14</v>
      </c>
      <c r="N95">
        <v>3.0870000000000002</v>
      </c>
      <c r="O95">
        <v>8.0000000000000002E-3</v>
      </c>
      <c r="P95">
        <f t="shared" ref="P95" si="256">((E95*2*PI())^2-9.8/N95)/2*N95^2*M95</f>
        <v>199.82051949720383</v>
      </c>
      <c r="R95" s="25">
        <f t="shared" ref="R95" si="257">$A$31*M95*9.8*O95*(N95/O95)^$A$33</f>
        <v>156.61325154126459</v>
      </c>
      <c r="S95">
        <f t="shared" ref="S95" si="258">SQRT(2*R95/N95^2/M95+9.8/(N95))/2/PI()</f>
        <v>0.28657681376352273</v>
      </c>
    </row>
    <row r="96" spans="2:19" x14ac:dyDescent="0.2">
      <c r="D96" t="s">
        <v>7</v>
      </c>
      <c r="E96">
        <v>0.31330000000000002</v>
      </c>
      <c r="F96">
        <v>0.31907000000000002</v>
      </c>
      <c r="G96" s="1">
        <f t="shared" si="201"/>
        <v>1.8416852856686872E-2</v>
      </c>
      <c r="H96">
        <f>[1]test_program!$P$15</f>
        <v>0.32171919982072511</v>
      </c>
      <c r="I96" s="1">
        <f t="shared" si="202"/>
        <v>2.6872645453958146E-2</v>
      </c>
      <c r="J96" s="2">
        <f t="shared" si="254"/>
        <v>2697</v>
      </c>
      <c r="K96">
        <f t="shared" si="255"/>
        <v>0.30338401622221361</v>
      </c>
      <c r="L96" s="1">
        <f t="shared" si="184"/>
        <v>-3.1650123772060029E-2</v>
      </c>
      <c r="M96" s="19">
        <v>486.14</v>
      </c>
      <c r="N96">
        <v>2.6970000000000001</v>
      </c>
      <c r="O96">
        <v>8.0000000000000002E-3</v>
      </c>
      <c r="Q96">
        <f t="shared" ref="Q96" si="259">((E96*2*PI())^2-9.8/N96)/4*N96^2*M96</f>
        <v>213.41330656088911</v>
      </c>
      <c r="R96" s="25">
        <f t="shared" ref="R96" si="260">$A$41*M96*9.8*O96*(N96/O96)^$A$43</f>
        <v>287.23198875558728</v>
      </c>
      <c r="S96">
        <f t="shared" ref="S96" si="261">SQRT(4*R96/N96^2/M96+9.8/(N96))/2/PI()</f>
        <v>0.31665762320152646</v>
      </c>
    </row>
    <row r="97" spans="4:13" x14ac:dyDescent="0.2">
      <c r="D97" t="s">
        <v>8</v>
      </c>
      <c r="E97">
        <v>0.35260000000000002</v>
      </c>
      <c r="F97">
        <v>0.37572</v>
      </c>
      <c r="G97" s="1">
        <f t="shared" si="201"/>
        <v>6.5570051049347627E-2</v>
      </c>
      <c r="H97">
        <f>[1]test_program!$W$15</f>
        <v>0.39853993129917126</v>
      </c>
      <c r="I97" s="1">
        <f t="shared" si="202"/>
        <v>0.13028908479628823</v>
      </c>
      <c r="K97">
        <f>SQRT(K96^2*456.4/256.85*0.85^2)</f>
        <v>0.34375154185662243</v>
      </c>
      <c r="L97" s="1">
        <f t="shared" si="184"/>
        <v>-2.5094889799709558E-2</v>
      </c>
      <c r="M97" s="19">
        <v>486.14</v>
      </c>
    </row>
  </sheetData>
  <phoneticPr fontId="1" type="noConversion"/>
  <conditionalFormatting sqref="I2:I97">
    <cfRule type="cellIs" dxfId="20" priority="3" operator="between">
      <formula>-0.1</formula>
      <formula>0.1</formula>
    </cfRule>
  </conditionalFormatting>
  <conditionalFormatting sqref="L2:L97">
    <cfRule type="cellIs" dxfId="19" priority="2" operator="between">
      <formula>-0.1</formula>
      <formula>0.1</formula>
    </cfRule>
  </conditionalFormatting>
  <conditionalFormatting sqref="G2:G97">
    <cfRule type="cellIs" dxfId="18" priority="1" operator="between">
      <formula>-0.1</formula>
      <formula>0.1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9988-62B0-4027-82FA-5E0E04616BAA}">
  <sheetPr codeName="Sheet3"/>
  <dimension ref="A1:S100"/>
  <sheetViews>
    <sheetView zoomScale="250" zoomScaleNormal="250" workbookViewId="0">
      <selection activeCell="E28" sqref="E28"/>
    </sheetView>
  </sheetViews>
  <sheetFormatPr defaultRowHeight="14.25" x14ac:dyDescent="0.2"/>
  <cols>
    <col min="1" max="1" width="13" bestFit="1" customWidth="1"/>
    <col min="2" max="2" width="16.5" bestFit="1" customWidth="1"/>
    <col min="7" max="7" width="11" style="1" bestFit="1" customWidth="1"/>
    <col min="9" max="9" width="11" bestFit="1" customWidth="1"/>
    <col min="12" max="12" width="11" bestFit="1" customWidth="1"/>
    <col min="13" max="13" width="8.75" customWidth="1"/>
    <col min="18" max="18" width="12.625" bestFit="1" customWidth="1"/>
    <col min="19" max="19" width="12.75" bestFit="1" customWidth="1"/>
  </cols>
  <sheetData>
    <row r="1" spans="1:19" ht="25.5" x14ac:dyDescent="0.2">
      <c r="A1" t="s">
        <v>0</v>
      </c>
      <c r="B1" t="s">
        <v>11</v>
      </c>
      <c r="C1" t="s">
        <v>10</v>
      </c>
      <c r="D1" t="s">
        <v>5</v>
      </c>
      <c r="E1" t="s">
        <v>1</v>
      </c>
      <c r="F1" t="s">
        <v>2</v>
      </c>
      <c r="G1" s="1" t="s">
        <v>25</v>
      </c>
      <c r="H1" t="s">
        <v>3</v>
      </c>
      <c r="I1" t="s">
        <v>25</v>
      </c>
      <c r="J1" t="s">
        <v>24</v>
      </c>
      <c r="K1" t="s">
        <v>4</v>
      </c>
      <c r="L1" t="s">
        <v>26</v>
      </c>
      <c r="M1" t="s">
        <v>87</v>
      </c>
      <c r="N1" t="s">
        <v>86</v>
      </c>
      <c r="O1" t="s">
        <v>98</v>
      </c>
      <c r="P1" s="18" t="s">
        <v>85</v>
      </c>
      <c r="Q1" s="18" t="s">
        <v>84</v>
      </c>
      <c r="S1" t="s">
        <v>88</v>
      </c>
    </row>
    <row r="2" spans="1:19" x14ac:dyDescent="0.2">
      <c r="A2" t="s">
        <v>107</v>
      </c>
      <c r="B2" t="s">
        <v>102</v>
      </c>
      <c r="C2" t="s">
        <v>19</v>
      </c>
      <c r="D2" t="s">
        <v>6</v>
      </c>
      <c r="E2">
        <v>0.54569999999999996</v>
      </c>
      <c r="F2">
        <v>0.50429000000000002</v>
      </c>
      <c r="G2" s="1">
        <f t="shared" ref="G2:G13" si="0">(F2-E2)/E2</f>
        <v>-7.5884185449880792E-2</v>
      </c>
      <c r="H2">
        <f>[1]test_program!$Q$3</f>
        <v>0.52353851673833995</v>
      </c>
      <c r="I2" s="1">
        <f t="shared" ref="I2:I13" si="1">(H2-E2)/E2</f>
        <v>-4.0611110979769126E-2</v>
      </c>
      <c r="J2" s="16">
        <v>1065</v>
      </c>
      <c r="K2" s="14">
        <f>1/2/PI()*SQRT(9.8*1000/J2)</f>
        <v>0.48279011071913525</v>
      </c>
      <c r="L2" s="15">
        <f>(K2-E2)/E2</f>
        <v>-0.11528291970105319</v>
      </c>
      <c r="M2" s="19">
        <v>435.69299999999998</v>
      </c>
      <c r="N2" s="21">
        <f>J2/1000</f>
        <v>1.0649999999999999</v>
      </c>
      <c r="O2">
        <v>1.2500000000000001E-2</v>
      </c>
      <c r="P2">
        <f>((E2*2*PI())^2-9.8/N2)/2*N2^2*M2</f>
        <v>631.1441774990808</v>
      </c>
      <c r="R2" s="25">
        <f>$A$31*M2*9.8*O2*(N2/O2)^$A$33</f>
        <v>536.61725774722549</v>
      </c>
      <c r="S2">
        <f>SQRT(2*R2/N2^2/M2+9.8/(N2))/2/PI()</f>
        <v>0.53674760817382661</v>
      </c>
    </row>
    <row r="3" spans="1:19" x14ac:dyDescent="0.2">
      <c r="A3" s="22" t="s">
        <v>89</v>
      </c>
      <c r="D3" t="s">
        <v>7</v>
      </c>
      <c r="E3">
        <v>0.69618999999999998</v>
      </c>
      <c r="F3">
        <v>0.69940999999999998</v>
      </c>
      <c r="G3" s="1">
        <f t="shared" si="0"/>
        <v>4.6251741622258301E-3</v>
      </c>
      <c r="H3">
        <f>[1]test_program!$P$3</f>
        <v>0.73787690863701283</v>
      </c>
      <c r="I3" s="1">
        <f t="shared" si="1"/>
        <v>5.9878637494093362E-2</v>
      </c>
      <c r="J3" s="14">
        <v>700</v>
      </c>
      <c r="K3" s="14">
        <f>1/2/PI()*SQRT(9.8*1000/J3)</f>
        <v>0.59550326846137647</v>
      </c>
      <c r="L3" s="15">
        <f>(K3-E3)/E3</f>
        <v>-0.14462536310292234</v>
      </c>
      <c r="M3" s="19">
        <v>435.69299999999998</v>
      </c>
      <c r="N3" s="21">
        <f>J3/1000</f>
        <v>0.7</v>
      </c>
      <c r="O3">
        <v>1.2500000000000001E-2</v>
      </c>
      <c r="Q3">
        <f>((E3*2*PI())^2-9.8/N3)/4*N3^2*M3</f>
        <v>274.03626985499324</v>
      </c>
      <c r="R3" s="25">
        <f>$A$31*M3*9.8*O3*(N3/O3)^$A$33</f>
        <v>470.13105663440592</v>
      </c>
      <c r="S3">
        <f>SQRT(2*R3/N3^2/M3+9.8/(N3))/2/PI()</f>
        <v>0.68277754690123116</v>
      </c>
    </row>
    <row r="4" spans="1:19" x14ac:dyDescent="0.2">
      <c r="A4" s="22">
        <v>-61.374099999999999</v>
      </c>
      <c r="D4" t="s">
        <v>8</v>
      </c>
      <c r="E4">
        <v>0.85219999999999996</v>
      </c>
      <c r="F4">
        <v>0.79940999999999995</v>
      </c>
      <c r="G4" s="1">
        <f t="shared" si="0"/>
        <v>-6.1945552687162647E-2</v>
      </c>
      <c r="H4">
        <f>SQRT(H3^2*428/256.85*0.9^2)</f>
        <v>0.8572520424503195</v>
      </c>
      <c r="I4" s="1">
        <f t="shared" si="1"/>
        <v>5.9282356844866683E-3</v>
      </c>
      <c r="J4" s="14"/>
      <c r="K4">
        <f>SQRT(K3^2*428/256.85*0.9^2)</f>
        <v>0.69184492318282687</v>
      </c>
      <c r="L4" s="14"/>
      <c r="M4" s="19">
        <v>435.69299999999998</v>
      </c>
      <c r="N4" s="20"/>
      <c r="R4" s="25"/>
    </row>
    <row r="5" spans="1:19" x14ac:dyDescent="0.2">
      <c r="A5" s="22" t="s">
        <v>90</v>
      </c>
      <c r="C5" t="s">
        <v>20</v>
      </c>
      <c r="D5" t="s">
        <v>6</v>
      </c>
      <c r="E5">
        <v>0.52910000000000001</v>
      </c>
      <c r="F5">
        <v>0.50439000000000001</v>
      </c>
      <c r="G5" s="1">
        <f t="shared" si="0"/>
        <v>-4.6701946701946717E-2</v>
      </c>
      <c r="H5">
        <f>[1]test_program!$Q$3</f>
        <v>0.52353851673833995</v>
      </c>
      <c r="I5" s="1">
        <f t="shared" si="1"/>
        <v>-1.051121387575139E-2</v>
      </c>
      <c r="J5" s="16">
        <v>1065</v>
      </c>
      <c r="K5" s="14">
        <f>1/2/PI()*SQRT(9.8*1000/J5)</f>
        <v>0.48279011071913525</v>
      </c>
      <c r="L5" s="15">
        <f>(K5-E5)/E5</f>
        <v>-8.7525778266612675E-2</v>
      </c>
      <c r="M5" s="19">
        <v>435.69299999999998</v>
      </c>
      <c r="N5" s="21">
        <f>J5/1000</f>
        <v>1.0649999999999999</v>
      </c>
      <c r="O5">
        <v>1.2500000000000001E-2</v>
      </c>
      <c r="P5">
        <f>((E5*2*PI())^2-9.8/N5)/2*N5^2*M5</f>
        <v>457.10569620684498</v>
      </c>
      <c r="R5" s="25">
        <f t="shared" ref="R5" si="2">$A$31*M5*9.8*O5*(N5/O5)^$A$33</f>
        <v>536.61725774722549</v>
      </c>
      <c r="S5">
        <f>SQRT(2*R5/N5^2/M5+9.8/(N5))/2/PI()</f>
        <v>0.53674760817382661</v>
      </c>
    </row>
    <row r="6" spans="1:19" x14ac:dyDescent="0.2">
      <c r="A6" s="22">
        <v>981.65650000000005</v>
      </c>
      <c r="D6" t="s">
        <v>7</v>
      </c>
      <c r="E6">
        <v>0.71279999999999999</v>
      </c>
      <c r="F6">
        <v>0.69625999999999999</v>
      </c>
      <c r="G6" s="1">
        <f t="shared" si="0"/>
        <v>-2.3204264870931537E-2</v>
      </c>
      <c r="H6">
        <f>[1]test_program!$P$3</f>
        <v>0.73787690863701283</v>
      </c>
      <c r="I6" s="1">
        <f t="shared" si="1"/>
        <v>3.5180848256190854E-2</v>
      </c>
      <c r="J6" s="14">
        <v>700</v>
      </c>
      <c r="K6" s="14">
        <f>1/2/PI()*SQRT(9.8*1000/J6)</f>
        <v>0.59550326846137647</v>
      </c>
      <c r="L6" s="15">
        <f>(K6-E6)/E6</f>
        <v>-0.16455770417876475</v>
      </c>
      <c r="M6" s="19">
        <v>435.69299999999998</v>
      </c>
      <c r="N6" s="21">
        <f>J6/1000</f>
        <v>0.7</v>
      </c>
      <c r="O6">
        <v>1.2500000000000001E-2</v>
      </c>
      <c r="Q6">
        <f>((E6*2*PI())^2-9.8/N6)/4*N6^2*M6</f>
        <v>323.34842133576188</v>
      </c>
      <c r="R6" s="25">
        <f>$A$31*M6*9.8*O6*(N6/O6)^$A$33</f>
        <v>470.13105663440592</v>
      </c>
      <c r="S6">
        <f>SQRT(2*R6/N6^2/M6+9.8/(N6))/2/PI()</f>
        <v>0.68277754690123116</v>
      </c>
    </row>
    <row r="7" spans="1:19" x14ac:dyDescent="0.2">
      <c r="A7" s="22" t="s">
        <v>91</v>
      </c>
      <c r="D7" t="s">
        <v>8</v>
      </c>
      <c r="E7">
        <v>0.85960000000000003</v>
      </c>
      <c r="F7">
        <v>0.79952000000000001</v>
      </c>
      <c r="G7" s="1">
        <f t="shared" si="0"/>
        <v>-6.9892973476035389E-2</v>
      </c>
      <c r="H7">
        <f>SQRT(H6^2*428/256.85*0.9^2)</f>
        <v>0.8572520424503195</v>
      </c>
      <c r="I7" s="1">
        <f t="shared" si="1"/>
        <v>-2.7314536408568346E-3</v>
      </c>
      <c r="J7" s="14"/>
      <c r="K7">
        <f>SQRT(K6^2*428/256.85*0.9^2)</f>
        <v>0.69184492318282687</v>
      </c>
      <c r="L7" s="14"/>
      <c r="M7" s="19">
        <v>435.69299999999998</v>
      </c>
      <c r="N7" s="20"/>
      <c r="R7" s="25"/>
    </row>
    <row r="8" spans="1:19" x14ac:dyDescent="0.2">
      <c r="A8" s="22">
        <v>12432.3534</v>
      </c>
      <c r="B8" t="s">
        <v>103</v>
      </c>
      <c r="C8" t="s">
        <v>19</v>
      </c>
      <c r="D8" t="s">
        <v>6</v>
      </c>
      <c r="E8">
        <v>0.42209999999999998</v>
      </c>
      <c r="F8">
        <v>0.40648000000000001</v>
      </c>
      <c r="G8" s="1">
        <f t="shared" si="0"/>
        <v>-3.700544894574738E-2</v>
      </c>
      <c r="H8">
        <f>[1]test_program!$Q$4</f>
        <v>0.40726483697240323</v>
      </c>
      <c r="I8" s="1">
        <f t="shared" si="1"/>
        <v>-3.5146086300868858E-2</v>
      </c>
      <c r="J8" s="16">
        <v>1665</v>
      </c>
      <c r="K8" s="14">
        <f>1/2/PI()*SQRT(9.8*1000/J8)</f>
        <v>0.38612333675319593</v>
      </c>
      <c r="L8" s="15">
        <f>(K8-E8)/E8</f>
        <v>-8.5232559220099605E-2</v>
      </c>
      <c r="M8" s="19">
        <v>435.79300000000001</v>
      </c>
      <c r="N8" s="21">
        <f>J8/1000</f>
        <v>1.665</v>
      </c>
      <c r="O8">
        <v>1.2500000000000001E-2</v>
      </c>
      <c r="P8">
        <f>((E8*2*PI())^2-9.8/N8)/2*N8^2*M8</f>
        <v>693.41101140964793</v>
      </c>
      <c r="R8" s="25">
        <f t="shared" ref="R8:R9" si="3">$A$31*M8*9.8*O8*(N8/O8)^$A$33</f>
        <v>617.92173932758942</v>
      </c>
      <c r="S8">
        <f>SQRT(2*R8/N8^2/M8+9.8/(N8))/2/PI()</f>
        <v>0.41833345257418014</v>
      </c>
    </row>
    <row r="9" spans="1:19" x14ac:dyDescent="0.2">
      <c r="A9" s="22" t="s">
        <v>95</v>
      </c>
      <c r="D9" t="s">
        <v>7</v>
      </c>
      <c r="E9">
        <v>0.4763</v>
      </c>
      <c r="F9">
        <v>0.49569999999999997</v>
      </c>
      <c r="G9" s="1">
        <f t="shared" si="0"/>
        <v>4.0730631954650376E-2</v>
      </c>
      <c r="H9">
        <f>[1]test_program!$P$4</f>
        <v>0.49596438697613188</v>
      </c>
      <c r="I9" s="1">
        <f t="shared" si="1"/>
        <v>4.1285716934981891E-2</v>
      </c>
      <c r="J9" s="14">
        <v>1300</v>
      </c>
      <c r="K9" s="14">
        <f>1/2/PI()*SQRT(9.8*1000/J9)</f>
        <v>0.43697993258248191</v>
      </c>
      <c r="L9" s="15">
        <f>(K9-E9)/E9</f>
        <v>-8.2553154351287197E-2</v>
      </c>
      <c r="M9" s="19">
        <v>435.79300000000001</v>
      </c>
      <c r="N9" s="21">
        <f>J9/1000</f>
        <v>1.3</v>
      </c>
      <c r="O9">
        <v>1.2500000000000001E-2</v>
      </c>
      <c r="Q9">
        <f>((E9*2*PI())^2-9.8/N9)/4*N9^2*M9</f>
        <v>261.02666152171491</v>
      </c>
      <c r="R9" s="25">
        <f t="shared" si="3"/>
        <v>571.55582002553172</v>
      </c>
      <c r="S9">
        <f>SQRT(2*R9/N9^2/M9+9.8/(N9))/2/PI()</f>
        <v>0.47986122392906888</v>
      </c>
    </row>
    <row r="10" spans="1:19" x14ac:dyDescent="0.2">
      <c r="A10" s="22">
        <v>-3.1396000000000002</v>
      </c>
      <c r="D10" t="s">
        <v>8</v>
      </c>
      <c r="E10">
        <v>0.5595</v>
      </c>
      <c r="F10">
        <v>0.59438000000000002</v>
      </c>
      <c r="G10" s="1">
        <f t="shared" si="0"/>
        <v>6.2341376228775731E-2</v>
      </c>
      <c r="H10">
        <f>SQRT(H9^2*428/256.85*0.9^2)</f>
        <v>0.57620245157592243</v>
      </c>
      <c r="I10" s="1">
        <f t="shared" si="1"/>
        <v>2.9852460368047236E-2</v>
      </c>
      <c r="J10" s="14"/>
      <c r="K10">
        <f>SQRT(K9^2*428/256.85*0.9^2)</f>
        <v>0.50767537963491849</v>
      </c>
      <c r="L10" s="14"/>
      <c r="M10" s="19">
        <v>435.79300000000001</v>
      </c>
      <c r="N10" s="20"/>
      <c r="R10" s="25"/>
    </row>
    <row r="11" spans="1:19" x14ac:dyDescent="0.2">
      <c r="A11" s="22" t="s">
        <v>96</v>
      </c>
      <c r="C11" t="s">
        <v>20</v>
      </c>
      <c r="D11" t="s">
        <v>6</v>
      </c>
      <c r="E11">
        <v>0.41499999999999998</v>
      </c>
      <c r="F11">
        <v>0.40648000000000001</v>
      </c>
      <c r="G11" s="1">
        <f t="shared" si="0"/>
        <v>-2.0530120481927646E-2</v>
      </c>
      <c r="H11">
        <f>[1]test_program!$Q$4</f>
        <v>0.40726483697240323</v>
      </c>
      <c r="I11" s="1">
        <f t="shared" si="1"/>
        <v>-1.8638947054449996E-2</v>
      </c>
      <c r="J11" s="16">
        <v>1665</v>
      </c>
      <c r="K11" s="14">
        <f>1/2/PI()*SQRT(9.8*1000/J11)</f>
        <v>0.38612333675319593</v>
      </c>
      <c r="L11" s="15">
        <f>(K11-E11)/E11</f>
        <v>-6.9582321076636255E-2</v>
      </c>
      <c r="M11" s="19">
        <v>435.79300000000001</v>
      </c>
      <c r="N11" s="21">
        <f>J11/1000</f>
        <v>1.665</v>
      </c>
      <c r="O11">
        <v>1.2500000000000001E-2</v>
      </c>
      <c r="P11">
        <f>((E11*2*PI())^2-9.8/N11)/2*N11^2*M11</f>
        <v>551.67697436283481</v>
      </c>
      <c r="R11" s="25">
        <f t="shared" ref="R11:R12" si="4">$A$31*M11*9.8*O11*(N11/O11)^$A$33</f>
        <v>617.92173932758942</v>
      </c>
      <c r="S11">
        <f>SQRT(2*R11/N11^2/M11+9.8/(N11))/2/PI()</f>
        <v>0.41833345257418014</v>
      </c>
    </row>
    <row r="12" spans="1:19" x14ac:dyDescent="0.2">
      <c r="A12" s="22">
        <v>7.7499999999999999E-2</v>
      </c>
      <c r="D12" t="s">
        <v>7</v>
      </c>
      <c r="E12">
        <v>0.47739999999999999</v>
      </c>
      <c r="F12">
        <v>0.49569999999999997</v>
      </c>
      <c r="G12" s="1">
        <f t="shared" si="0"/>
        <v>3.8332635106828619E-2</v>
      </c>
      <c r="H12">
        <f>[1]test_program!$P$4</f>
        <v>0.49596438697613188</v>
      </c>
      <c r="I12" s="1">
        <f t="shared" si="1"/>
        <v>3.8886441089509609E-2</v>
      </c>
      <c r="J12" s="14">
        <v>1300</v>
      </c>
      <c r="K12" s="14">
        <f>1/2/PI()*SQRT(9.8*1000/J12)</f>
        <v>0.43697993258248191</v>
      </c>
      <c r="L12" s="15">
        <f>(K12-E12)/E12</f>
        <v>-8.4667087175362546E-2</v>
      </c>
      <c r="M12" s="19">
        <v>435.79300000000001</v>
      </c>
      <c r="N12" s="21">
        <f>J12/1000</f>
        <v>1.3</v>
      </c>
      <c r="O12">
        <v>1.2500000000000001E-2</v>
      </c>
      <c r="Q12">
        <f>((E12*2*PI())^2-9.8/N12)/4*N12^2*M12</f>
        <v>268.65221143010552</v>
      </c>
      <c r="R12" s="25">
        <f t="shared" si="4"/>
        <v>571.55582002553172</v>
      </c>
      <c r="S12">
        <f>SQRT(2*R12/N12^2/M12+9.8/(N12))/2/PI()</f>
        <v>0.47986122392906888</v>
      </c>
    </row>
    <row r="13" spans="1:19" x14ac:dyDescent="0.2">
      <c r="A13" s="22" t="s">
        <v>97</v>
      </c>
      <c r="D13" t="s">
        <v>8</v>
      </c>
      <c r="E13">
        <v>0.5605</v>
      </c>
      <c r="F13">
        <v>0.59452000000000005</v>
      </c>
      <c r="G13" s="1">
        <f t="shared" si="0"/>
        <v>6.0695807314897501E-2</v>
      </c>
      <c r="H13">
        <f>SQRT(H12^2*428/256.85*0.9^2)</f>
        <v>0.57620245157592243</v>
      </c>
      <c r="I13" s="1">
        <f t="shared" si="1"/>
        <v>2.8015078636792912E-2</v>
      </c>
      <c r="K13">
        <f>SQRT(K12^2*428/256.85*0.9^2)</f>
        <v>0.50767537963491849</v>
      </c>
      <c r="M13" s="19">
        <v>435.79300000000001</v>
      </c>
      <c r="N13" s="20"/>
      <c r="R13" s="25"/>
    </row>
    <row r="14" spans="1:19" x14ac:dyDescent="0.2">
      <c r="A14" s="22">
        <v>100.4752</v>
      </c>
      <c r="B14" s="4"/>
      <c r="C14" s="4"/>
      <c r="D14" s="4"/>
      <c r="E14" s="4"/>
      <c r="F14" s="4"/>
      <c r="G14" s="5"/>
      <c r="H14" s="4"/>
      <c r="I14" s="5"/>
      <c r="J14" s="6"/>
      <c r="K14" s="4"/>
      <c r="L14" s="5"/>
      <c r="N14" s="4"/>
      <c r="O14" s="4"/>
    </row>
    <row r="15" spans="1:19" x14ac:dyDescent="0.2">
      <c r="A15" s="22"/>
      <c r="B15" s="4"/>
      <c r="C15" s="4"/>
      <c r="D15" s="4"/>
      <c r="E15" s="4"/>
      <c r="F15" s="4"/>
      <c r="G15" s="5"/>
      <c r="H15" s="4"/>
      <c r="I15" s="5"/>
      <c r="J15" s="4"/>
      <c r="K15" s="4"/>
      <c r="L15" s="4"/>
      <c r="N15" s="4"/>
      <c r="O15" s="4"/>
    </row>
    <row r="16" spans="1:19" x14ac:dyDescent="0.2">
      <c r="A16" s="22" t="s">
        <v>92</v>
      </c>
      <c r="B16" s="4"/>
      <c r="C16" s="4"/>
      <c r="D16" s="4"/>
      <c r="E16" s="4"/>
      <c r="F16" s="4"/>
      <c r="G16" s="5"/>
      <c r="H16" s="4"/>
      <c r="I16" s="5"/>
      <c r="J16" s="4"/>
      <c r="K16" s="4"/>
      <c r="L16" s="4"/>
      <c r="N16" s="4"/>
      <c r="O16" s="4"/>
    </row>
    <row r="17" spans="1:15" x14ac:dyDescent="0.2">
      <c r="A17" s="22">
        <v>-156.53540000000001</v>
      </c>
      <c r="B17" s="4"/>
      <c r="C17" s="4"/>
      <c r="D17" s="4"/>
      <c r="E17" s="4"/>
      <c r="F17" s="4"/>
      <c r="G17" s="5"/>
      <c r="H17" s="4"/>
      <c r="I17" s="5"/>
      <c r="J17" s="6"/>
      <c r="K17" s="4"/>
      <c r="L17" s="5"/>
      <c r="N17" s="4"/>
      <c r="O17" s="4"/>
    </row>
    <row r="18" spans="1:15" x14ac:dyDescent="0.2">
      <c r="A18" s="22" t="s">
        <v>93</v>
      </c>
      <c r="B18" s="4"/>
      <c r="C18" s="4"/>
      <c r="D18" s="4"/>
      <c r="E18" s="4"/>
      <c r="F18" s="4"/>
      <c r="G18" s="5"/>
      <c r="H18" s="4"/>
      <c r="I18" s="5"/>
      <c r="J18" s="4"/>
      <c r="K18" s="4"/>
      <c r="L18" s="4"/>
      <c r="N18" s="4"/>
      <c r="O18" s="4"/>
    </row>
    <row r="19" spans="1:15" x14ac:dyDescent="0.2">
      <c r="A19" s="22">
        <v>4200.5456999999997</v>
      </c>
      <c r="B19" s="4"/>
      <c r="C19" s="4"/>
      <c r="D19" s="4"/>
      <c r="E19" s="4"/>
      <c r="F19" s="4"/>
      <c r="G19" s="5"/>
      <c r="H19" s="4"/>
      <c r="I19" s="5"/>
      <c r="J19" s="4"/>
      <c r="K19" s="4"/>
      <c r="L19" s="4"/>
      <c r="N19" s="4"/>
      <c r="O19" s="4"/>
    </row>
    <row r="20" spans="1:15" x14ac:dyDescent="0.2">
      <c r="A20" s="22" t="s">
        <v>94</v>
      </c>
      <c r="B20" s="4"/>
      <c r="C20" s="4"/>
      <c r="D20" s="4"/>
      <c r="E20" s="4"/>
      <c r="F20" s="4"/>
      <c r="G20" s="5"/>
      <c r="H20" s="4"/>
      <c r="I20" s="5"/>
      <c r="J20" s="6"/>
      <c r="K20" s="4"/>
      <c r="L20" s="5"/>
      <c r="N20" s="4"/>
      <c r="O20" s="4"/>
    </row>
    <row r="21" spans="1:15" x14ac:dyDescent="0.2">
      <c r="A21" s="22">
        <v>30658.237000000001</v>
      </c>
      <c r="B21" s="4"/>
      <c r="C21" s="4"/>
      <c r="D21" s="4"/>
      <c r="E21" s="4"/>
      <c r="F21" s="4"/>
      <c r="G21" s="5"/>
      <c r="H21" s="4"/>
      <c r="I21" s="5"/>
      <c r="J21" s="4"/>
      <c r="K21" s="4"/>
      <c r="L21" s="4"/>
      <c r="N21" s="4"/>
      <c r="O21" s="4"/>
    </row>
    <row r="22" spans="1:15" x14ac:dyDescent="0.2">
      <c r="A22" s="22" t="s">
        <v>95</v>
      </c>
      <c r="B22" s="4"/>
      <c r="C22" s="4"/>
      <c r="D22" s="4"/>
      <c r="E22" s="4"/>
      <c r="F22" s="4"/>
      <c r="G22" s="5"/>
      <c r="H22" s="4"/>
      <c r="I22" s="5"/>
      <c r="J22" s="4"/>
      <c r="K22" s="4"/>
      <c r="L22" s="4"/>
      <c r="N22" s="4"/>
      <c r="O22" s="4"/>
    </row>
    <row r="23" spans="1:15" x14ac:dyDescent="0.2">
      <c r="A23" s="22">
        <v>-11.124700000000001</v>
      </c>
      <c r="B23" s="4"/>
      <c r="C23" s="4"/>
      <c r="D23" s="4"/>
      <c r="E23" s="4"/>
      <c r="F23" s="4"/>
      <c r="G23" s="5"/>
      <c r="H23" s="4"/>
      <c r="I23" s="5"/>
      <c r="J23" s="6"/>
      <c r="K23" s="4"/>
      <c r="L23" s="5"/>
      <c r="N23" s="4"/>
      <c r="O23" s="4"/>
    </row>
    <row r="24" spans="1:15" x14ac:dyDescent="0.2">
      <c r="A24" s="22" t="s">
        <v>96</v>
      </c>
      <c r="B24" s="4"/>
      <c r="C24" s="4"/>
      <c r="D24" s="4"/>
      <c r="E24" s="4"/>
      <c r="F24" s="4"/>
      <c r="G24" s="5"/>
      <c r="H24" s="4"/>
      <c r="I24" s="5"/>
      <c r="J24" s="4"/>
      <c r="K24" s="4"/>
      <c r="L24" s="4"/>
      <c r="N24" s="4"/>
      <c r="O24" s="4"/>
    </row>
    <row r="25" spans="1:15" x14ac:dyDescent="0.2">
      <c r="A25" s="22">
        <v>0.20200000000000001</v>
      </c>
      <c r="B25" s="4"/>
      <c r="C25" s="4"/>
      <c r="D25" s="4"/>
      <c r="E25" s="4"/>
      <c r="F25" s="4"/>
      <c r="G25" s="5"/>
      <c r="H25" s="4"/>
      <c r="I25" s="5"/>
      <c r="J25" s="4"/>
      <c r="K25" s="4"/>
      <c r="L25" s="4"/>
      <c r="N25" s="4"/>
      <c r="O25" s="4"/>
    </row>
    <row r="26" spans="1:15" x14ac:dyDescent="0.2">
      <c r="A26" s="22" t="s">
        <v>97</v>
      </c>
      <c r="B26" s="4"/>
      <c r="C26" s="4"/>
      <c r="D26" s="4"/>
      <c r="E26" s="4"/>
      <c r="F26" s="4"/>
      <c r="G26" s="5"/>
      <c r="H26" s="4"/>
      <c r="I26" s="5"/>
      <c r="J26" s="7"/>
      <c r="K26" s="4"/>
      <c r="L26" s="5"/>
      <c r="N26" s="4"/>
      <c r="O26" s="4"/>
    </row>
    <row r="27" spans="1:15" x14ac:dyDescent="0.2">
      <c r="A27" s="22">
        <v>198.22460000000001</v>
      </c>
      <c r="B27" s="4"/>
      <c r="C27" s="4"/>
      <c r="D27" s="4"/>
      <c r="E27" s="4"/>
      <c r="F27" s="4"/>
      <c r="G27" s="5"/>
      <c r="H27" s="4"/>
      <c r="I27" s="5"/>
      <c r="J27" s="4"/>
      <c r="K27" s="4"/>
      <c r="L27" s="4"/>
      <c r="N27" s="4"/>
      <c r="O27" s="4"/>
    </row>
    <row r="28" spans="1:15" x14ac:dyDescent="0.2">
      <c r="A28" s="4"/>
      <c r="B28" s="4"/>
      <c r="C28" s="4"/>
      <c r="D28" s="4"/>
      <c r="E28" s="4"/>
      <c r="F28" s="4"/>
      <c r="G28" s="5"/>
      <c r="H28" s="4"/>
      <c r="I28" s="5"/>
      <c r="J28" s="4"/>
      <c r="K28" s="4"/>
      <c r="L28" s="4"/>
      <c r="M28" s="4"/>
      <c r="N28" s="4"/>
      <c r="O28" s="4"/>
    </row>
    <row r="29" spans="1:15" x14ac:dyDescent="0.2">
      <c r="A29" s="23" t="s">
        <v>99</v>
      </c>
      <c r="B29" s="4"/>
      <c r="C29" s="4"/>
      <c r="D29" s="4"/>
      <c r="E29" s="4"/>
      <c r="F29" s="4"/>
      <c r="G29" s="5"/>
      <c r="H29" s="4"/>
      <c r="I29" s="5"/>
      <c r="J29" s="7"/>
      <c r="K29" s="4"/>
      <c r="L29" s="5"/>
      <c r="N29" s="4"/>
      <c r="O29" s="4"/>
    </row>
    <row r="30" spans="1:15" x14ac:dyDescent="0.2">
      <c r="A30" t="s">
        <v>19</v>
      </c>
      <c r="B30" s="4"/>
      <c r="C30" s="4"/>
      <c r="D30" s="4"/>
      <c r="E30" s="4"/>
      <c r="F30" s="4"/>
      <c r="G30" s="5"/>
      <c r="H30" s="4"/>
      <c r="I30" s="5"/>
      <c r="J30" s="4"/>
      <c r="K30" s="4"/>
      <c r="L30" s="4"/>
      <c r="N30" s="4"/>
      <c r="O30" s="4"/>
    </row>
    <row r="31" spans="1:15" x14ac:dyDescent="0.2">
      <c r="A31" s="24">
        <v>2.4767000000000001</v>
      </c>
      <c r="B31" s="4"/>
      <c r="C31" s="4"/>
      <c r="D31" s="4"/>
      <c r="E31" s="4"/>
      <c r="F31" s="4"/>
      <c r="G31" s="5"/>
      <c r="H31" s="4"/>
      <c r="I31" s="5"/>
      <c r="J31" s="4"/>
      <c r="K31" s="4"/>
      <c r="L31" s="4"/>
      <c r="M31" s="4"/>
      <c r="N31" s="4"/>
      <c r="O31" s="4"/>
    </row>
    <row r="32" spans="1:15" x14ac:dyDescent="0.2">
      <c r="A32" t="s">
        <v>101</v>
      </c>
      <c r="B32" s="4"/>
      <c r="C32" s="4"/>
      <c r="D32" s="4"/>
      <c r="E32" s="4"/>
      <c r="F32" s="4"/>
      <c r="G32" s="5"/>
      <c r="H32" s="4"/>
      <c r="I32" s="5"/>
      <c r="J32" s="7"/>
      <c r="K32" s="4"/>
      <c r="L32" s="5"/>
      <c r="N32" s="4"/>
      <c r="O32" s="4"/>
    </row>
    <row r="33" spans="1:15" x14ac:dyDescent="0.2">
      <c r="A33">
        <v>0.31519999999999998</v>
      </c>
      <c r="B33" s="4"/>
      <c r="C33" s="4"/>
      <c r="D33" s="4"/>
      <c r="E33" s="4"/>
      <c r="F33" s="4"/>
      <c r="G33" s="5"/>
      <c r="H33" s="4"/>
      <c r="I33" s="5"/>
      <c r="J33" s="4"/>
      <c r="K33" s="4"/>
      <c r="L33" s="4"/>
      <c r="N33" s="4"/>
      <c r="O33" s="4"/>
    </row>
    <row r="34" spans="1:15" x14ac:dyDescent="0.2">
      <c r="B34" s="4"/>
      <c r="C34" s="4"/>
      <c r="D34" s="4"/>
      <c r="E34" s="4"/>
      <c r="F34" s="4"/>
      <c r="G34" s="5"/>
      <c r="H34" s="4"/>
      <c r="I34" s="5"/>
      <c r="J34" s="4"/>
      <c r="K34" s="4"/>
      <c r="L34" s="4"/>
      <c r="M34" s="4"/>
      <c r="N34" s="4"/>
      <c r="O34" s="4"/>
    </row>
    <row r="35" spans="1:15" x14ac:dyDescent="0.2">
      <c r="B35" s="4"/>
      <c r="C35" s="4"/>
      <c r="D35" s="4"/>
      <c r="E35" s="4"/>
      <c r="F35" s="4"/>
      <c r="G35" s="5"/>
      <c r="H35" s="4"/>
      <c r="I35" s="5"/>
      <c r="J35" s="7"/>
      <c r="K35" s="4"/>
      <c r="L35" s="5"/>
      <c r="N35" s="4"/>
      <c r="O35" s="4"/>
    </row>
    <row r="36" spans="1:15" x14ac:dyDescent="0.2">
      <c r="B36" s="4"/>
      <c r="C36" s="4"/>
      <c r="D36" s="4"/>
      <c r="E36" s="4"/>
      <c r="F36" s="4"/>
      <c r="G36" s="5"/>
      <c r="H36" s="4"/>
      <c r="I36" s="5"/>
      <c r="J36" s="4"/>
      <c r="K36" s="4"/>
      <c r="L36" s="4"/>
      <c r="N36" s="4"/>
      <c r="O36" s="4"/>
    </row>
    <row r="37" spans="1:15" x14ac:dyDescent="0.2">
      <c r="B37" s="4"/>
      <c r="C37" s="4"/>
      <c r="D37" s="4"/>
      <c r="E37" s="4"/>
      <c r="F37" s="4"/>
      <c r="G37" s="5"/>
      <c r="H37" s="4"/>
      <c r="I37" s="5"/>
      <c r="J37" s="4"/>
      <c r="K37" s="4"/>
      <c r="L37" s="4"/>
      <c r="M37" s="4"/>
      <c r="N37" s="4"/>
      <c r="O37" s="4"/>
    </row>
    <row r="38" spans="1:15" x14ac:dyDescent="0.2">
      <c r="B38" s="4"/>
      <c r="C38" s="4"/>
      <c r="D38" s="4"/>
      <c r="E38" s="4"/>
      <c r="F38" s="4"/>
      <c r="G38" s="5"/>
      <c r="H38" s="4"/>
      <c r="I38" s="5"/>
      <c r="J38" s="7"/>
      <c r="K38" s="4"/>
      <c r="L38" s="5"/>
      <c r="N38" s="4"/>
      <c r="O38" s="4"/>
    </row>
    <row r="39" spans="1:15" x14ac:dyDescent="0.2">
      <c r="A39" s="23" t="s">
        <v>100</v>
      </c>
      <c r="B39" s="4"/>
      <c r="C39" s="4"/>
      <c r="D39" s="4"/>
      <c r="E39" s="4"/>
      <c r="F39" s="4"/>
      <c r="G39" s="5"/>
      <c r="H39" s="4"/>
      <c r="I39" s="5"/>
      <c r="J39" s="4"/>
      <c r="K39" s="4"/>
      <c r="L39" s="4"/>
      <c r="N39" s="4"/>
      <c r="O39" s="4"/>
    </row>
    <row r="40" spans="1:15" x14ac:dyDescent="0.2">
      <c r="A40" t="s">
        <v>19</v>
      </c>
      <c r="B40" s="4"/>
      <c r="C40" s="4"/>
      <c r="D40" s="4"/>
      <c r="E40" s="4"/>
      <c r="F40" s="4"/>
      <c r="G40" s="5"/>
      <c r="H40" s="4"/>
      <c r="I40" s="5"/>
      <c r="J40" s="4"/>
      <c r="K40" s="4"/>
      <c r="L40" s="4"/>
      <c r="M40" s="4"/>
      <c r="N40" s="4"/>
      <c r="O40" s="4"/>
    </row>
    <row r="41" spans="1:15" x14ac:dyDescent="0.2">
      <c r="A41" s="24">
        <v>2.4767000000000001</v>
      </c>
      <c r="B41" s="4"/>
      <c r="C41" s="4"/>
      <c r="D41" s="4"/>
      <c r="E41" s="4"/>
      <c r="F41" s="4"/>
      <c r="G41" s="5"/>
      <c r="H41" s="4"/>
      <c r="I41" s="5"/>
      <c r="J41" s="7"/>
      <c r="K41" s="4"/>
      <c r="L41" s="5"/>
      <c r="N41" s="4"/>
      <c r="O41" s="4"/>
    </row>
    <row r="42" spans="1:15" x14ac:dyDescent="0.2">
      <c r="A42" t="s">
        <v>101</v>
      </c>
      <c r="B42" s="4"/>
      <c r="C42" s="4"/>
      <c r="D42" s="4"/>
      <c r="E42" s="4"/>
      <c r="F42" s="4"/>
      <c r="G42" s="5"/>
      <c r="H42" s="4"/>
      <c r="I42" s="5"/>
      <c r="J42" s="4"/>
      <c r="K42" s="4"/>
      <c r="L42" s="4"/>
      <c r="N42" s="4"/>
      <c r="O42" s="4"/>
    </row>
    <row r="43" spans="1:15" x14ac:dyDescent="0.2">
      <c r="A43">
        <v>0.31519999999999998</v>
      </c>
      <c r="B43" s="4"/>
      <c r="C43" s="4"/>
      <c r="D43" s="4"/>
      <c r="E43" s="4"/>
      <c r="F43" s="4"/>
      <c r="G43" s="5"/>
      <c r="H43" s="4"/>
      <c r="I43" s="5"/>
      <c r="J43" s="4"/>
      <c r="K43" s="4"/>
      <c r="L43" s="4"/>
      <c r="M43" s="4"/>
      <c r="N43" s="4"/>
      <c r="O43" s="4"/>
    </row>
    <row r="44" spans="1:15" x14ac:dyDescent="0.2">
      <c r="A44" s="4"/>
      <c r="B44" s="4"/>
      <c r="C44" s="4"/>
      <c r="D44" s="4"/>
      <c r="E44" s="4"/>
      <c r="F44" s="4"/>
      <c r="G44" s="5"/>
      <c r="H44" s="4"/>
      <c r="I44" s="5"/>
      <c r="J44" s="7"/>
      <c r="K44" s="4"/>
      <c r="L44" s="5"/>
      <c r="N44" s="4"/>
      <c r="O44" s="4"/>
    </row>
    <row r="45" spans="1:15" x14ac:dyDescent="0.2">
      <c r="A45" s="4"/>
      <c r="B45" s="4"/>
      <c r="C45" s="4"/>
      <c r="D45" s="4"/>
      <c r="E45" s="4"/>
      <c r="F45" s="4"/>
      <c r="G45" s="5"/>
      <c r="H45" s="4"/>
      <c r="I45" s="5"/>
      <c r="J45" s="4"/>
      <c r="K45" s="4"/>
      <c r="L45" s="4"/>
      <c r="N45" s="4"/>
      <c r="O45" s="4"/>
    </row>
    <row r="46" spans="1:15" x14ac:dyDescent="0.2">
      <c r="A46" s="4"/>
      <c r="B46" s="4"/>
      <c r="C46" s="4"/>
      <c r="D46" s="4"/>
      <c r="E46" s="4"/>
      <c r="F46" s="4"/>
      <c r="G46" s="5"/>
      <c r="H46" s="4"/>
      <c r="I46" s="5"/>
      <c r="J46" s="4"/>
      <c r="K46" s="4"/>
      <c r="L46" s="4"/>
      <c r="M46" s="4"/>
      <c r="N46" s="4"/>
      <c r="O46" s="4"/>
    </row>
    <row r="47" spans="1:15" x14ac:dyDescent="0.2">
      <c r="A47" s="4"/>
      <c r="B47" s="4"/>
      <c r="C47" s="4"/>
      <c r="D47" s="4"/>
      <c r="E47" s="4"/>
      <c r="F47" s="4"/>
      <c r="G47" s="5"/>
      <c r="H47" s="4"/>
      <c r="I47" s="5"/>
      <c r="J47" s="7"/>
      <c r="K47" s="4"/>
      <c r="L47" s="5"/>
      <c r="N47" s="4"/>
      <c r="O47" s="4"/>
    </row>
    <row r="48" spans="1:15" x14ac:dyDescent="0.2">
      <c r="A48" s="4"/>
      <c r="B48" s="4"/>
      <c r="C48" s="4"/>
      <c r="D48" s="4"/>
      <c r="E48" s="4"/>
      <c r="F48" s="4"/>
      <c r="G48" s="5"/>
      <c r="H48" s="4"/>
      <c r="I48" s="5"/>
      <c r="J48" s="4"/>
      <c r="K48" s="4"/>
      <c r="L48" s="4"/>
      <c r="N48" s="4"/>
      <c r="O48" s="4"/>
    </row>
    <row r="49" spans="1:15" x14ac:dyDescent="0.2">
      <c r="A49" s="4"/>
      <c r="B49" s="4"/>
      <c r="C49" s="4"/>
      <c r="D49" s="4"/>
      <c r="E49" s="4"/>
      <c r="F49" s="4"/>
      <c r="G49" s="5"/>
      <c r="H49" s="4"/>
      <c r="I49" s="5"/>
      <c r="J49" s="4"/>
      <c r="K49" s="4"/>
      <c r="L49" s="4"/>
      <c r="M49" s="4"/>
      <c r="N49" s="4"/>
      <c r="O49" s="4"/>
    </row>
    <row r="50" spans="1:15" x14ac:dyDescent="0.2">
      <c r="A50" s="4"/>
      <c r="B50" s="4"/>
      <c r="C50" s="4"/>
      <c r="D50" s="4"/>
      <c r="E50" s="4"/>
      <c r="F50" s="4"/>
      <c r="G50" s="5"/>
      <c r="H50" s="4"/>
      <c r="I50" s="5"/>
      <c r="J50" s="7"/>
      <c r="K50" s="4"/>
      <c r="L50" s="5"/>
      <c r="N50" s="4"/>
      <c r="O50" s="4"/>
    </row>
    <row r="51" spans="1:15" x14ac:dyDescent="0.2">
      <c r="A51" s="4"/>
      <c r="B51" s="4"/>
      <c r="C51" s="4"/>
      <c r="D51" s="4"/>
      <c r="E51" s="4"/>
      <c r="F51" s="4"/>
      <c r="G51" s="5"/>
      <c r="H51" s="4"/>
      <c r="I51" s="5"/>
      <c r="J51" s="4"/>
      <c r="K51" s="4"/>
      <c r="L51" s="4"/>
      <c r="N51" s="4"/>
      <c r="O51" s="4"/>
    </row>
    <row r="52" spans="1:15" x14ac:dyDescent="0.2">
      <c r="A52" s="4"/>
      <c r="B52" s="4"/>
      <c r="C52" s="4"/>
      <c r="D52" s="4"/>
      <c r="E52" s="4"/>
      <c r="F52" s="4"/>
      <c r="G52" s="5"/>
      <c r="H52" s="4"/>
      <c r="I52" s="5"/>
      <c r="J52" s="4"/>
      <c r="K52" s="4"/>
      <c r="L52" s="4"/>
      <c r="M52" s="4"/>
      <c r="N52" s="4"/>
      <c r="O52" s="4"/>
    </row>
    <row r="53" spans="1:15" x14ac:dyDescent="0.2">
      <c r="A53" s="4"/>
      <c r="B53" s="4"/>
      <c r="C53" s="4"/>
      <c r="D53" s="4"/>
      <c r="E53" s="4"/>
      <c r="F53" s="4"/>
      <c r="G53" s="5"/>
      <c r="H53" s="4"/>
      <c r="I53" s="5"/>
      <c r="J53" s="7"/>
      <c r="K53" s="4"/>
      <c r="L53" s="5"/>
      <c r="N53" s="4"/>
      <c r="O53" s="4"/>
    </row>
    <row r="54" spans="1:15" x14ac:dyDescent="0.2">
      <c r="A54" s="4"/>
      <c r="B54" s="4"/>
      <c r="C54" s="4"/>
      <c r="D54" s="4"/>
      <c r="E54" s="4"/>
      <c r="F54" s="4"/>
      <c r="G54" s="5"/>
      <c r="H54" s="4"/>
      <c r="I54" s="5"/>
      <c r="J54" s="4"/>
      <c r="K54" s="4"/>
      <c r="L54" s="4"/>
      <c r="N54" s="4"/>
      <c r="O54" s="4"/>
    </row>
    <row r="55" spans="1:15" x14ac:dyDescent="0.2">
      <c r="A55" s="4"/>
      <c r="B55" s="4"/>
      <c r="C55" s="4"/>
      <c r="D55" s="4"/>
      <c r="E55" s="4"/>
      <c r="F55" s="4"/>
      <c r="G55" s="5"/>
      <c r="H55" s="4"/>
      <c r="I55" s="5"/>
      <c r="J55" s="4"/>
      <c r="K55" s="4"/>
      <c r="L55" s="4"/>
      <c r="M55" s="4"/>
      <c r="N55" s="4"/>
      <c r="O55" s="4"/>
    </row>
    <row r="56" spans="1:15" x14ac:dyDescent="0.2">
      <c r="A56" s="4"/>
      <c r="B56" s="4"/>
      <c r="C56" s="4"/>
      <c r="D56" s="4"/>
      <c r="E56" s="4"/>
      <c r="F56" s="4"/>
      <c r="G56" s="5"/>
      <c r="H56" s="4"/>
      <c r="I56" s="5"/>
      <c r="J56" s="7"/>
      <c r="K56" s="4"/>
      <c r="L56" s="5"/>
      <c r="N56" s="4"/>
      <c r="O56" s="4"/>
    </row>
    <row r="57" spans="1:15" x14ac:dyDescent="0.2">
      <c r="A57" s="4"/>
      <c r="B57" s="4"/>
      <c r="C57" s="4"/>
      <c r="D57" s="4"/>
      <c r="E57" s="4"/>
      <c r="F57" s="4"/>
      <c r="G57" s="5"/>
      <c r="H57" s="4"/>
      <c r="I57" s="5"/>
      <c r="J57" s="4"/>
      <c r="K57" s="4"/>
      <c r="L57" s="4"/>
      <c r="N57" s="4"/>
      <c r="O57" s="4"/>
    </row>
    <row r="58" spans="1:15" x14ac:dyDescent="0.2">
      <c r="A58" s="4"/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  <c r="N58" s="4"/>
      <c r="O58" s="4"/>
    </row>
    <row r="59" spans="1:15" x14ac:dyDescent="0.2">
      <c r="A59" s="4"/>
      <c r="B59" s="4"/>
      <c r="C59" s="4"/>
      <c r="D59" s="4"/>
      <c r="E59" s="4"/>
      <c r="F59" s="4"/>
      <c r="G59" s="5"/>
      <c r="H59" s="4"/>
      <c r="I59" s="5"/>
      <c r="J59" s="7"/>
      <c r="K59" s="4"/>
      <c r="L59" s="5"/>
      <c r="N59" s="4"/>
      <c r="O59" s="4"/>
    </row>
    <row r="60" spans="1:15" x14ac:dyDescent="0.2">
      <c r="A60" s="4"/>
      <c r="B60" s="4"/>
      <c r="C60" s="4"/>
      <c r="D60" s="4"/>
      <c r="E60" s="4"/>
      <c r="F60" s="4"/>
      <c r="G60" s="5"/>
      <c r="H60" s="4"/>
      <c r="I60" s="5"/>
      <c r="J60" s="4"/>
      <c r="K60" s="4"/>
      <c r="L60" s="4"/>
      <c r="N60" s="4"/>
      <c r="O60" s="4"/>
    </row>
    <row r="61" spans="1:15" x14ac:dyDescent="0.2">
      <c r="A61" s="4"/>
      <c r="B61" s="4"/>
      <c r="C61" s="4"/>
      <c r="D61" s="4"/>
      <c r="E61" s="4"/>
      <c r="F61" s="4"/>
      <c r="G61" s="5"/>
      <c r="H61" s="4"/>
      <c r="I61" s="5"/>
      <c r="J61" s="4"/>
      <c r="K61" s="4"/>
      <c r="L61" s="4"/>
      <c r="M61" s="4"/>
      <c r="N61" s="4"/>
      <c r="O61" s="4"/>
    </row>
    <row r="62" spans="1:15" x14ac:dyDescent="0.2">
      <c r="A62" s="4"/>
      <c r="B62" s="4"/>
      <c r="C62" s="4"/>
      <c r="D62" s="4"/>
      <c r="E62" s="4"/>
      <c r="F62" s="4"/>
      <c r="G62" s="5"/>
      <c r="H62" s="4"/>
      <c r="I62" s="5"/>
      <c r="J62" s="7"/>
      <c r="K62" s="4"/>
      <c r="L62" s="5"/>
      <c r="N62" s="4"/>
      <c r="O62" s="4"/>
    </row>
    <row r="63" spans="1:15" x14ac:dyDescent="0.2">
      <c r="A63" s="4"/>
      <c r="B63" s="4"/>
      <c r="C63" s="4"/>
      <c r="D63" s="4"/>
      <c r="E63" s="4"/>
      <c r="F63" s="4"/>
      <c r="G63" s="5"/>
      <c r="H63" s="4"/>
      <c r="I63" s="5"/>
      <c r="J63" s="4"/>
      <c r="K63" s="4"/>
      <c r="L63" s="4"/>
      <c r="N63" s="4"/>
      <c r="O63" s="4"/>
    </row>
    <row r="64" spans="1:15" x14ac:dyDescent="0.2">
      <c r="A64" s="4"/>
      <c r="B64" s="4"/>
      <c r="C64" s="4"/>
      <c r="D64" s="4"/>
      <c r="E64" s="4"/>
      <c r="F64" s="4"/>
      <c r="G64" s="5"/>
      <c r="H64" s="4"/>
      <c r="I64" s="5"/>
      <c r="J64" s="4"/>
      <c r="K64" s="4"/>
      <c r="L64" s="4"/>
      <c r="M64" s="4"/>
      <c r="N64" s="4"/>
      <c r="O64" s="4"/>
    </row>
    <row r="65" spans="1:15" x14ac:dyDescent="0.2">
      <c r="A65" s="4"/>
      <c r="B65" s="4"/>
      <c r="C65" s="4"/>
      <c r="D65" s="4"/>
      <c r="E65" s="4"/>
      <c r="F65" s="4"/>
      <c r="G65" s="5"/>
      <c r="H65" s="4"/>
      <c r="I65" s="5"/>
      <c r="J65" s="7"/>
      <c r="K65" s="4"/>
      <c r="L65" s="5"/>
      <c r="N65" s="4"/>
      <c r="O65" s="4"/>
    </row>
    <row r="66" spans="1:15" x14ac:dyDescent="0.2">
      <c r="A66" s="4"/>
      <c r="B66" s="4"/>
      <c r="C66" s="4"/>
      <c r="D66" s="4"/>
      <c r="E66" s="4"/>
      <c r="F66" s="4"/>
      <c r="G66" s="5"/>
      <c r="H66" s="4"/>
      <c r="I66" s="5"/>
      <c r="J66" s="4"/>
      <c r="K66" s="4"/>
      <c r="L66" s="4"/>
      <c r="N66" s="4"/>
      <c r="O66" s="4"/>
    </row>
    <row r="67" spans="1:15" x14ac:dyDescent="0.2">
      <c r="A67" s="4"/>
      <c r="B67" s="4"/>
      <c r="C67" s="4"/>
      <c r="D67" s="4"/>
      <c r="E67" s="4"/>
      <c r="F67" s="4"/>
      <c r="G67" s="5"/>
      <c r="H67" s="4"/>
      <c r="I67" s="5"/>
      <c r="J67" s="4"/>
      <c r="K67" s="4"/>
      <c r="L67" s="4"/>
      <c r="M67" s="4"/>
      <c r="N67" s="4"/>
      <c r="O67" s="4"/>
    </row>
    <row r="68" spans="1:15" x14ac:dyDescent="0.2">
      <c r="A68" s="4"/>
      <c r="B68" s="4"/>
      <c r="C68" s="4"/>
      <c r="D68" s="4"/>
      <c r="E68" s="4"/>
      <c r="F68" s="4"/>
      <c r="G68" s="5"/>
      <c r="H68" s="4"/>
      <c r="I68" s="5"/>
      <c r="J68" s="7"/>
      <c r="K68" s="4"/>
      <c r="L68" s="5"/>
      <c r="N68" s="4"/>
      <c r="O68" s="4"/>
    </row>
    <row r="69" spans="1:15" x14ac:dyDescent="0.2">
      <c r="A69" s="4"/>
      <c r="B69" s="4"/>
      <c r="C69" s="4"/>
      <c r="D69" s="4"/>
      <c r="E69" s="4"/>
      <c r="F69" s="4"/>
      <c r="G69" s="5"/>
      <c r="H69" s="4"/>
      <c r="I69" s="5"/>
      <c r="J69" s="4"/>
      <c r="K69" s="4"/>
      <c r="L69" s="4"/>
      <c r="N69" s="4"/>
      <c r="O69" s="4"/>
    </row>
    <row r="70" spans="1:15" x14ac:dyDescent="0.2">
      <c r="A70" s="4"/>
      <c r="B70" s="4"/>
      <c r="C70" s="4"/>
      <c r="D70" s="4"/>
      <c r="E70" s="4"/>
      <c r="F70" s="4"/>
      <c r="G70" s="5"/>
      <c r="H70" s="4"/>
      <c r="I70" s="5"/>
      <c r="J70" s="4"/>
      <c r="K70" s="4"/>
      <c r="L70" s="4"/>
      <c r="M70" s="4"/>
      <c r="N70" s="4"/>
      <c r="O70" s="4"/>
    </row>
    <row r="71" spans="1:15" x14ac:dyDescent="0.2">
      <c r="A71" s="4"/>
      <c r="B71" s="4"/>
      <c r="C71" s="4"/>
      <c r="D71" s="4"/>
      <c r="E71" s="4"/>
      <c r="F71" s="4"/>
      <c r="G71" s="5"/>
      <c r="H71" s="4"/>
      <c r="I71" s="5"/>
      <c r="J71" s="7"/>
      <c r="K71" s="4"/>
      <c r="L71" s="5"/>
      <c r="N71" s="4"/>
      <c r="O71" s="4"/>
    </row>
    <row r="72" spans="1:15" x14ac:dyDescent="0.2">
      <c r="A72" s="4"/>
      <c r="B72" s="4"/>
      <c r="C72" s="4"/>
      <c r="D72" s="4"/>
      <c r="E72" s="4"/>
      <c r="F72" s="4"/>
      <c r="G72" s="5"/>
      <c r="H72" s="4"/>
      <c r="I72" s="5"/>
      <c r="J72" s="4"/>
      <c r="K72" s="4"/>
      <c r="L72" s="4"/>
      <c r="N72" s="4"/>
      <c r="O72" s="4"/>
    </row>
    <row r="73" spans="1:15" x14ac:dyDescent="0.2">
      <c r="A73" s="4"/>
      <c r="B73" s="4"/>
      <c r="C73" s="4"/>
      <c r="D73" s="4"/>
      <c r="E73" s="4"/>
      <c r="F73" s="4"/>
      <c r="G73" s="5"/>
      <c r="H73" s="4"/>
      <c r="I73" s="5"/>
      <c r="J73" s="4"/>
      <c r="K73" s="4"/>
      <c r="L73" s="4"/>
      <c r="M73" s="4"/>
      <c r="N73" s="4"/>
      <c r="O73" s="4"/>
    </row>
    <row r="74" spans="1:15" x14ac:dyDescent="0.2">
      <c r="A74" s="4"/>
      <c r="B74" s="4"/>
      <c r="C74" s="4"/>
      <c r="D74" s="4"/>
      <c r="E74" s="4"/>
      <c r="F74" s="4"/>
      <c r="G74" s="5"/>
      <c r="H74" s="4"/>
      <c r="I74" s="5"/>
      <c r="J74" s="7"/>
      <c r="K74" s="4"/>
      <c r="L74" s="5"/>
      <c r="N74" s="4"/>
      <c r="O74" s="4"/>
    </row>
    <row r="75" spans="1:15" x14ac:dyDescent="0.2">
      <c r="A75" s="4"/>
      <c r="B75" s="4"/>
      <c r="C75" s="4"/>
      <c r="D75" s="4"/>
      <c r="E75" s="4"/>
      <c r="F75" s="4"/>
      <c r="G75" s="5"/>
      <c r="H75" s="4"/>
      <c r="I75" s="5"/>
      <c r="J75" s="4"/>
      <c r="K75" s="4"/>
      <c r="L75" s="4"/>
      <c r="N75" s="4"/>
      <c r="O75" s="4"/>
    </row>
    <row r="76" spans="1:15" x14ac:dyDescent="0.2">
      <c r="A76" s="4"/>
      <c r="B76" s="4"/>
      <c r="C76" s="4"/>
      <c r="D76" s="4"/>
      <c r="E76" s="4"/>
      <c r="F76" s="4"/>
      <c r="G76" s="5"/>
      <c r="H76" s="4"/>
      <c r="I76" s="5"/>
      <c r="J76" s="4"/>
      <c r="K76" s="4"/>
      <c r="L76" s="4"/>
      <c r="N76" s="4"/>
      <c r="O76" s="4"/>
    </row>
    <row r="77" spans="1:15" x14ac:dyDescent="0.2">
      <c r="A77" s="4"/>
      <c r="B77" s="4"/>
      <c r="C77" s="4"/>
      <c r="D77" s="4"/>
      <c r="E77" s="4"/>
      <c r="F77" s="4"/>
      <c r="G77" s="5"/>
      <c r="H77" s="4"/>
      <c r="I77" s="5"/>
      <c r="J77" s="7"/>
      <c r="K77" s="4"/>
      <c r="L77" s="5"/>
      <c r="N77" s="4"/>
      <c r="O77" s="4"/>
    </row>
    <row r="78" spans="1:15" x14ac:dyDescent="0.2">
      <c r="A78" s="4"/>
      <c r="B78" s="4"/>
      <c r="C78" s="4"/>
      <c r="D78" s="4"/>
      <c r="E78" s="4"/>
      <c r="F78" s="4"/>
      <c r="G78" s="5"/>
      <c r="H78" s="4"/>
      <c r="I78" s="5"/>
      <c r="J78" s="4"/>
      <c r="K78" s="4"/>
      <c r="L78" s="4"/>
      <c r="N78" s="4"/>
      <c r="O78" s="4"/>
    </row>
    <row r="79" spans="1:15" x14ac:dyDescent="0.2">
      <c r="A79" s="4"/>
      <c r="B79" s="4"/>
      <c r="C79" s="4"/>
      <c r="D79" s="4"/>
      <c r="E79" s="4"/>
      <c r="F79" s="4"/>
      <c r="G79" s="5"/>
      <c r="H79" s="4"/>
      <c r="I79" s="5"/>
      <c r="J79" s="4"/>
      <c r="K79" s="4"/>
      <c r="L79" s="4"/>
      <c r="N79" s="4"/>
      <c r="O79" s="4"/>
    </row>
    <row r="80" spans="1:15" x14ac:dyDescent="0.2">
      <c r="A80" s="4"/>
      <c r="B80" s="4"/>
      <c r="C80" s="4"/>
      <c r="D80" s="4"/>
      <c r="E80" s="4"/>
      <c r="F80" s="4"/>
      <c r="G80" s="5"/>
      <c r="H80" s="4"/>
      <c r="I80" s="5"/>
      <c r="J80" s="7"/>
      <c r="K80" s="4"/>
      <c r="L80" s="5"/>
      <c r="N80" s="4"/>
      <c r="O80" s="4"/>
    </row>
    <row r="81" spans="1:15" x14ac:dyDescent="0.2">
      <c r="A81" s="4"/>
      <c r="B81" s="4"/>
      <c r="C81" s="4"/>
      <c r="D81" s="4"/>
      <c r="E81" s="4"/>
      <c r="F81" s="4"/>
      <c r="G81" s="5"/>
      <c r="H81" s="4"/>
      <c r="I81" s="5"/>
      <c r="J81" s="4"/>
      <c r="K81" s="4"/>
      <c r="L81" s="4"/>
      <c r="N81" s="4"/>
      <c r="O81" s="4"/>
    </row>
    <row r="82" spans="1:15" x14ac:dyDescent="0.2">
      <c r="A82" s="4"/>
      <c r="B82" s="4"/>
      <c r="C82" s="4"/>
      <c r="D82" s="4"/>
      <c r="E82" s="4"/>
      <c r="F82" s="4"/>
      <c r="G82" s="5"/>
      <c r="H82" s="4"/>
      <c r="I82" s="5"/>
      <c r="J82" s="4"/>
      <c r="K82" s="4"/>
      <c r="L82" s="4"/>
      <c r="N82" s="4"/>
      <c r="O82" s="4"/>
    </row>
    <row r="83" spans="1:15" x14ac:dyDescent="0.2">
      <c r="A83" s="4"/>
      <c r="B83" s="4"/>
      <c r="C83" s="4"/>
      <c r="D83" s="4"/>
      <c r="E83" s="4"/>
      <c r="F83" s="4"/>
      <c r="G83" s="5"/>
      <c r="H83" s="4"/>
      <c r="I83" s="5"/>
      <c r="J83" s="7"/>
      <c r="K83" s="4"/>
      <c r="L83" s="5"/>
      <c r="N83" s="4"/>
      <c r="O83" s="4"/>
    </row>
    <row r="84" spans="1:15" x14ac:dyDescent="0.2">
      <c r="A84" s="4"/>
      <c r="B84" s="4"/>
      <c r="C84" s="4"/>
      <c r="D84" s="4"/>
      <c r="E84" s="4"/>
      <c r="F84" s="4"/>
      <c r="G84" s="5"/>
      <c r="H84" s="4"/>
      <c r="I84" s="5"/>
      <c r="J84" s="4"/>
      <c r="K84" s="4"/>
      <c r="L84" s="4"/>
      <c r="N84" s="4"/>
      <c r="O84" s="4"/>
    </row>
    <row r="85" spans="1:15" x14ac:dyDescent="0.2">
      <c r="A85" s="4"/>
      <c r="B85" s="4"/>
      <c r="C85" s="4"/>
      <c r="D85" s="4"/>
      <c r="E85" s="4"/>
      <c r="F85" s="4"/>
      <c r="G85" s="5"/>
      <c r="H85" s="4"/>
      <c r="I85" s="5"/>
      <c r="J85" s="4"/>
      <c r="K85" s="4"/>
      <c r="L85" s="4"/>
      <c r="N85" s="4"/>
      <c r="O85" s="4"/>
    </row>
    <row r="86" spans="1:15" x14ac:dyDescent="0.2">
      <c r="A86" s="4"/>
      <c r="B86" s="4"/>
      <c r="C86" s="4"/>
      <c r="D86" s="4"/>
      <c r="E86" s="4"/>
      <c r="F86" s="4"/>
      <c r="G86" s="5"/>
      <c r="H86" s="4"/>
      <c r="I86" s="5"/>
      <c r="J86" s="7"/>
      <c r="K86" s="4"/>
      <c r="L86" s="5"/>
      <c r="N86" s="4"/>
      <c r="O86" s="4"/>
    </row>
    <row r="87" spans="1:15" x14ac:dyDescent="0.2">
      <c r="A87" s="4"/>
      <c r="B87" s="4"/>
      <c r="C87" s="4"/>
      <c r="D87" s="4"/>
      <c r="E87" s="4"/>
      <c r="F87" s="4"/>
      <c r="G87" s="5"/>
      <c r="H87" s="4"/>
      <c r="I87" s="5"/>
      <c r="J87" s="4"/>
      <c r="K87" s="4"/>
      <c r="L87" s="4"/>
      <c r="N87" s="4"/>
      <c r="O87" s="4"/>
    </row>
    <row r="88" spans="1:15" x14ac:dyDescent="0.2">
      <c r="A88" s="4"/>
      <c r="B88" s="4"/>
      <c r="C88" s="4"/>
      <c r="D88" s="4"/>
      <c r="E88" s="4"/>
      <c r="F88" s="4"/>
      <c r="G88" s="5"/>
      <c r="H88" s="4"/>
      <c r="I88" s="5"/>
      <c r="J88" s="4"/>
      <c r="K88" s="4"/>
      <c r="L88" s="4"/>
      <c r="N88" s="4"/>
      <c r="O88" s="4"/>
    </row>
    <row r="89" spans="1:15" x14ac:dyDescent="0.2">
      <c r="A89" s="4"/>
      <c r="B89" s="4"/>
      <c r="C89" s="4"/>
      <c r="D89" s="4"/>
      <c r="E89" s="4"/>
      <c r="F89" s="4"/>
      <c r="G89" s="5"/>
      <c r="H89" s="4"/>
      <c r="I89" s="5"/>
      <c r="J89" s="7"/>
      <c r="K89" s="4"/>
      <c r="L89" s="5"/>
      <c r="N89" s="4"/>
      <c r="O89" s="4"/>
    </row>
    <row r="90" spans="1:15" x14ac:dyDescent="0.2">
      <c r="A90" s="4"/>
      <c r="B90" s="4"/>
      <c r="C90" s="4"/>
      <c r="D90" s="4"/>
      <c r="E90" s="4"/>
      <c r="F90" s="4"/>
      <c r="G90" s="5"/>
      <c r="H90" s="4"/>
      <c r="I90" s="5"/>
      <c r="J90" s="4"/>
      <c r="K90" s="4"/>
      <c r="L90" s="4"/>
      <c r="N90" s="4"/>
      <c r="O90" s="4"/>
    </row>
    <row r="91" spans="1:15" x14ac:dyDescent="0.2">
      <c r="A91" s="4"/>
      <c r="B91" s="4"/>
      <c r="C91" s="4"/>
      <c r="D91" s="4"/>
      <c r="E91" s="4"/>
      <c r="F91" s="4"/>
      <c r="G91" s="5"/>
      <c r="H91" s="4"/>
      <c r="I91" s="5"/>
      <c r="J91" s="4"/>
      <c r="K91" s="4"/>
      <c r="L91" s="4"/>
      <c r="N91" s="4"/>
      <c r="O91" s="4"/>
    </row>
    <row r="92" spans="1:15" x14ac:dyDescent="0.2">
      <c r="A92" s="4"/>
      <c r="B92" s="4"/>
      <c r="C92" s="4"/>
      <c r="D92" s="4"/>
      <c r="E92" s="4"/>
      <c r="F92" s="4"/>
      <c r="G92" s="5"/>
      <c r="H92" s="4"/>
      <c r="I92" s="5"/>
      <c r="J92" s="7"/>
      <c r="K92" s="4"/>
      <c r="L92" s="5"/>
      <c r="N92" s="4"/>
      <c r="O92" s="4"/>
    </row>
    <row r="93" spans="1:15" x14ac:dyDescent="0.2">
      <c r="A93" s="4"/>
      <c r="B93" s="4"/>
      <c r="C93" s="4"/>
      <c r="D93" s="4"/>
      <c r="E93" s="4"/>
      <c r="F93" s="4"/>
      <c r="G93" s="5"/>
      <c r="H93" s="4"/>
      <c r="I93" s="5"/>
      <c r="J93" s="4"/>
      <c r="K93" s="4"/>
      <c r="L93" s="4"/>
      <c r="N93" s="4"/>
      <c r="O93" s="4"/>
    </row>
    <row r="94" spans="1:15" x14ac:dyDescent="0.2">
      <c r="A94" s="4"/>
      <c r="B94" s="4"/>
      <c r="C94" s="4"/>
      <c r="D94" s="4"/>
      <c r="E94" s="4"/>
      <c r="F94" s="4"/>
      <c r="G94" s="5"/>
      <c r="H94" s="4"/>
      <c r="I94" s="5"/>
      <c r="J94" s="4"/>
      <c r="K94" s="4"/>
      <c r="L94" s="4"/>
      <c r="N94" s="4"/>
      <c r="O94" s="4"/>
    </row>
    <row r="95" spans="1:15" x14ac:dyDescent="0.2">
      <c r="A95" s="4"/>
      <c r="B95" s="4"/>
      <c r="C95" s="4"/>
      <c r="D95" s="4"/>
      <c r="E95" s="4"/>
      <c r="F95" s="4"/>
      <c r="G95" s="5"/>
      <c r="H95" s="4"/>
      <c r="I95" s="5"/>
      <c r="J95" s="7"/>
      <c r="K95" s="4"/>
      <c r="L95" s="5"/>
      <c r="N95" s="4"/>
      <c r="O95" s="4"/>
    </row>
    <row r="96" spans="1:15" x14ac:dyDescent="0.2">
      <c r="A96" s="4"/>
      <c r="B96" s="4"/>
      <c r="C96" s="4"/>
      <c r="D96" s="4"/>
      <c r="E96" s="4"/>
      <c r="F96" s="4"/>
      <c r="G96" s="5"/>
      <c r="H96" s="4"/>
      <c r="I96" s="5"/>
      <c r="J96" s="4"/>
      <c r="K96" s="4"/>
      <c r="L96" s="4"/>
      <c r="N96" s="4"/>
      <c r="O96" s="4"/>
    </row>
    <row r="97" spans="1:15" x14ac:dyDescent="0.2">
      <c r="A97" s="4"/>
      <c r="B97" s="4"/>
      <c r="C97" s="4"/>
      <c r="D97" s="4"/>
      <c r="E97" s="4"/>
      <c r="F97" s="4"/>
      <c r="G97" s="5"/>
      <c r="H97" s="4"/>
      <c r="I97" s="5"/>
      <c r="J97" s="4"/>
      <c r="K97" s="4"/>
      <c r="L97" s="4"/>
      <c r="N97" s="4"/>
      <c r="O97" s="4"/>
    </row>
    <row r="98" spans="1:15" x14ac:dyDescent="0.2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N98" s="4"/>
      <c r="O98" s="4"/>
    </row>
    <row r="99" spans="1:15" x14ac:dyDescent="0.2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N99" s="4"/>
      <c r="O99" s="4"/>
    </row>
    <row r="100" spans="1:15" x14ac:dyDescent="0.2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N100" s="4"/>
      <c r="O100" s="4"/>
    </row>
  </sheetData>
  <phoneticPr fontId="1" type="noConversion"/>
  <conditionalFormatting sqref="I2:I13 L2 L4:L5 L7:L8 L10 L13 G2:G13">
    <cfRule type="cellIs" dxfId="17" priority="6" operator="between">
      <formula>-0.1</formula>
      <formula>0.1</formula>
    </cfRule>
  </conditionalFormatting>
  <conditionalFormatting sqref="L3">
    <cfRule type="cellIs" dxfId="16" priority="5" operator="between">
      <formula>-0.1</formula>
      <formula>0.1</formula>
    </cfRule>
  </conditionalFormatting>
  <conditionalFormatting sqref="L6">
    <cfRule type="cellIs" dxfId="15" priority="4" operator="between">
      <formula>-0.1</formula>
      <formula>0.1</formula>
    </cfRule>
  </conditionalFormatting>
  <conditionalFormatting sqref="L9">
    <cfRule type="cellIs" dxfId="14" priority="3" operator="between">
      <formula>-0.1</formula>
      <formula>0.1</formula>
    </cfRule>
  </conditionalFormatting>
  <conditionalFormatting sqref="L11">
    <cfRule type="cellIs" dxfId="13" priority="2" operator="between">
      <formula>-0.1</formula>
      <formula>0.1</formula>
    </cfRule>
  </conditionalFormatting>
  <conditionalFormatting sqref="L12">
    <cfRule type="cellIs" dxfId="12" priority="1" operator="between">
      <formula>-0.1</formula>
      <formula>0.1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FA84-0D7F-46AB-B9F2-1BEF9B7CD428}">
  <sheetPr codeName="Sheet4"/>
  <dimension ref="A1:S100"/>
  <sheetViews>
    <sheetView tabSelected="1" zoomScale="235" zoomScaleNormal="235" workbookViewId="0">
      <selection activeCell="G14" sqref="G14"/>
    </sheetView>
  </sheetViews>
  <sheetFormatPr defaultRowHeight="14.25" x14ac:dyDescent="0.2"/>
  <cols>
    <col min="1" max="1" width="13" bestFit="1" customWidth="1"/>
    <col min="2" max="2" width="16.5" bestFit="1" customWidth="1"/>
    <col min="7" max="7" width="11" style="1" bestFit="1" customWidth="1"/>
    <col min="9" max="9" width="11" bestFit="1" customWidth="1"/>
    <col min="12" max="12" width="11" bestFit="1" customWidth="1"/>
    <col min="18" max="18" width="11.5" bestFit="1" customWidth="1"/>
  </cols>
  <sheetData>
    <row r="1" spans="1:19" ht="25.5" x14ac:dyDescent="0.2">
      <c r="A1" s="8" t="s">
        <v>0</v>
      </c>
      <c r="B1" s="8" t="s">
        <v>11</v>
      </c>
      <c r="C1" s="8" t="s">
        <v>10</v>
      </c>
      <c r="D1" s="8" t="s">
        <v>5</v>
      </c>
      <c r="E1" s="8" t="s">
        <v>1</v>
      </c>
      <c r="F1" s="8" t="s">
        <v>2</v>
      </c>
      <c r="G1" s="17" t="s">
        <v>25</v>
      </c>
      <c r="H1" s="8" t="s">
        <v>3</v>
      </c>
      <c r="I1" s="8" t="s">
        <v>25</v>
      </c>
      <c r="J1" s="8" t="s">
        <v>24</v>
      </c>
      <c r="K1" s="8" t="s">
        <v>4</v>
      </c>
      <c r="L1" s="8" t="s">
        <v>26</v>
      </c>
      <c r="M1" t="s">
        <v>87</v>
      </c>
      <c r="N1" t="s">
        <v>86</v>
      </c>
      <c r="O1" t="s">
        <v>98</v>
      </c>
      <c r="P1" s="18" t="s">
        <v>85</v>
      </c>
      <c r="Q1" s="18" t="s">
        <v>84</v>
      </c>
      <c r="S1" t="s">
        <v>88</v>
      </c>
    </row>
    <row r="2" spans="1:19" x14ac:dyDescent="0.2">
      <c r="A2" s="8" t="s">
        <v>106</v>
      </c>
      <c r="B2" s="8" t="s">
        <v>104</v>
      </c>
      <c r="C2" s="8" t="s">
        <v>19</v>
      </c>
      <c r="D2" s="8" t="s">
        <v>6</v>
      </c>
      <c r="E2" s="8">
        <v>0.41099999999999998</v>
      </c>
      <c r="F2" s="8">
        <v>0.41855999999999999</v>
      </c>
      <c r="G2" s="17">
        <f t="shared" ref="G2:G13" si="0">(F2-E2)/E2</f>
        <v>1.8394160583941634E-2</v>
      </c>
      <c r="H2" s="8">
        <f>[1]test_program!$Q$17</f>
        <v>0.41447586551399962</v>
      </c>
      <c r="I2" s="17">
        <f t="shared" ref="I2:I13" si="1">(H2-E2)/E2</f>
        <v>8.4570937080283293E-3</v>
      </c>
      <c r="J2" s="2">
        <v>1445</v>
      </c>
      <c r="K2" s="8">
        <f>1/2/PI()*SQRT(9.8*1000/J2)</f>
        <v>0.41447586438989326</v>
      </c>
      <c r="L2" s="17">
        <f t="shared" ref="L2:L13" si="2">(K2-E2)/E2</f>
        <v>8.4570909729763492E-3</v>
      </c>
      <c r="M2" s="19">
        <v>491</v>
      </c>
      <c r="N2" s="2">
        <f>J2/1000</f>
        <v>1.4450000000000001</v>
      </c>
      <c r="O2">
        <v>1.7999999999999999E-2</v>
      </c>
      <c r="P2">
        <f>((E2*2*PI())^2-9.8/N2)/2*N2^2*M2</f>
        <v>-58.064960008638174</v>
      </c>
      <c r="R2" s="25">
        <f>$A$31*M2*9.8*O2*(N2/O2)^$A$33</f>
        <v>40.93369916268167</v>
      </c>
      <c r="S2">
        <f>SQRT(2*R2/N2^2/M2+9.8/(N2))/2/PI()</f>
        <v>0.41690880805291247</v>
      </c>
    </row>
    <row r="3" spans="1:19" x14ac:dyDescent="0.2">
      <c r="A3" s="22" t="s">
        <v>89</v>
      </c>
      <c r="B3" s="8"/>
      <c r="C3" s="8"/>
      <c r="D3" s="8" t="s">
        <v>7</v>
      </c>
      <c r="E3" s="8">
        <v>0.58730000000000004</v>
      </c>
      <c r="F3" s="8">
        <v>0.58435000000000004</v>
      </c>
      <c r="G3" s="17">
        <f t="shared" si="0"/>
        <v>-5.0229865486123067E-3</v>
      </c>
      <c r="H3" s="8">
        <f>[1]test_program!$P$17</f>
        <v>0.65747504982840566</v>
      </c>
      <c r="I3" s="17">
        <f t="shared" si="1"/>
        <v>0.11948756994450128</v>
      </c>
      <c r="J3" s="8">
        <v>810</v>
      </c>
      <c r="K3" s="8">
        <f>1/2/PI()*SQRT(9.8*1000/J3)</f>
        <v>0.55359308932447104</v>
      </c>
      <c r="L3" s="17">
        <f t="shared" si="2"/>
        <v>-5.7393003023206192E-2</v>
      </c>
      <c r="M3" s="19">
        <v>491</v>
      </c>
      <c r="N3" s="2">
        <f t="shared" ref="N3:N12" si="3">J3/1000</f>
        <v>0.81</v>
      </c>
      <c r="O3">
        <v>1.7999999999999999E-2</v>
      </c>
      <c r="Q3">
        <f>((E3*2*PI())^2-9.8/N3)/4*N3^2*M3</f>
        <v>122.26866628645207</v>
      </c>
      <c r="R3" s="25">
        <f>$A$41*M3*9.8*O3*(N3/O3)^$A$43</f>
        <v>133.20427081672395</v>
      </c>
      <c r="S3">
        <f>SQRT(4*R3/N3^2/M3+9.8/(N3))/2/PI()</f>
        <v>0.59022094164980976</v>
      </c>
    </row>
    <row r="4" spans="1:19" x14ac:dyDescent="0.2">
      <c r="A4" s="22">
        <v>-61.374099999999999</v>
      </c>
      <c r="B4" s="8"/>
      <c r="C4" s="8"/>
      <c r="D4" s="8" t="s">
        <v>8</v>
      </c>
      <c r="E4" s="8">
        <v>0.81828999999999996</v>
      </c>
      <c r="F4" s="8">
        <v>0.65868000000000004</v>
      </c>
      <c r="G4" s="17">
        <f t="shared" si="0"/>
        <v>-0.1950530985347492</v>
      </c>
      <c r="H4" s="8">
        <f>SQRT(H3^2*529/(256.85+1.62*70.5)*0.9^2)</f>
        <v>0.70652502972501319</v>
      </c>
      <c r="I4" s="17">
        <f t="shared" si="1"/>
        <v>-0.13658357095282453</v>
      </c>
      <c r="J4" s="8"/>
      <c r="K4" s="8">
        <f>SQRT(K3^2*529/(256.85+1.62*70.5)*0.9^2)</f>
        <v>0.59489310505792437</v>
      </c>
      <c r="L4" s="17">
        <f t="shared" si="2"/>
        <v>-0.27300455210509184</v>
      </c>
      <c r="M4" s="19">
        <v>491</v>
      </c>
      <c r="N4" s="2"/>
      <c r="R4" s="25"/>
    </row>
    <row r="5" spans="1:19" x14ac:dyDescent="0.2">
      <c r="A5" s="22" t="s">
        <v>90</v>
      </c>
      <c r="B5" s="8"/>
      <c r="C5" s="8" t="s">
        <v>20</v>
      </c>
      <c r="D5" s="8" t="s">
        <v>6</v>
      </c>
      <c r="E5" s="8">
        <v>0.41389999999999999</v>
      </c>
      <c r="F5" s="8">
        <v>0.41855999999999999</v>
      </c>
      <c r="G5" s="17">
        <f t="shared" si="0"/>
        <v>1.1258758154143508E-2</v>
      </c>
      <c r="H5" s="8">
        <f>[1]test_program!$Q$17</f>
        <v>0.41447586551399962</v>
      </c>
      <c r="I5" s="17">
        <f t="shared" si="1"/>
        <v>1.3913155689771186E-3</v>
      </c>
      <c r="J5" s="2">
        <v>1445</v>
      </c>
      <c r="K5" s="8">
        <f>1/2/PI()*SQRT(9.8*1000/J5)</f>
        <v>0.41447586438989326</v>
      </c>
      <c r="L5" s="17">
        <f t="shared" si="2"/>
        <v>1.3913128530883446E-3</v>
      </c>
      <c r="M5" s="19">
        <v>491</v>
      </c>
      <c r="N5" s="2">
        <f t="shared" si="3"/>
        <v>1.4450000000000001</v>
      </c>
      <c r="O5">
        <v>1.7999999999999999E-2</v>
      </c>
      <c r="P5">
        <f>((E5*2*PI())^2-9.8/N5)/2*N5^2*M5</f>
        <v>-9.6537175439786882</v>
      </c>
      <c r="R5" s="25">
        <f t="shared" ref="R5" si="4">$A$31*M5*9.8*O5*(N5/O5)^$A$33</f>
        <v>40.93369916268167</v>
      </c>
      <c r="S5">
        <f t="shared" ref="S5" si="5">SQRT(2*R5/N5^2/M5+9.8/(N5))/2/PI()</f>
        <v>0.41690880805291247</v>
      </c>
    </row>
    <row r="6" spans="1:19" x14ac:dyDescent="0.2">
      <c r="A6" s="22">
        <v>981.65650000000005</v>
      </c>
      <c r="B6" s="8"/>
      <c r="C6" s="8"/>
      <c r="D6" s="8" t="s">
        <v>7</v>
      </c>
      <c r="E6" s="8">
        <v>0.5786</v>
      </c>
      <c r="F6" s="8">
        <v>0.58435000000000004</v>
      </c>
      <c r="G6" s="17">
        <f t="shared" si="0"/>
        <v>9.9377808503284364E-3</v>
      </c>
      <c r="H6" s="8">
        <f>[1]test_program!$P$17</f>
        <v>0.65747504982840566</v>
      </c>
      <c r="I6" s="17">
        <f t="shared" si="1"/>
        <v>0.13632051473972631</v>
      </c>
      <c r="J6" s="8">
        <v>810</v>
      </c>
      <c r="K6" s="8">
        <f>1/2/PI()*SQRT(9.8*1000/J6)</f>
        <v>0.55359308932447104</v>
      </c>
      <c r="L6" s="17">
        <f t="shared" si="2"/>
        <v>-4.3219686615155475E-2</v>
      </c>
      <c r="M6" s="19">
        <v>491</v>
      </c>
      <c r="N6" s="2">
        <f t="shared" si="3"/>
        <v>0.81</v>
      </c>
      <c r="O6">
        <v>1.7999999999999999E-2</v>
      </c>
      <c r="Q6">
        <f>((E6*2*PI())^2-9.8/N6)/4*N6^2*M6</f>
        <v>90.018509510573196</v>
      </c>
      <c r="R6" s="25">
        <f t="shared" ref="R6" si="6">$A$41*M6*9.8*O6*(N6/O6)^$A$43</f>
        <v>133.20427081672395</v>
      </c>
      <c r="S6">
        <f t="shared" ref="S6" si="7">SQRT(4*R6/N6^2/M6+9.8/(N6))/2/PI()</f>
        <v>0.59022094164980976</v>
      </c>
    </row>
    <row r="7" spans="1:19" x14ac:dyDescent="0.2">
      <c r="A7" s="22" t="s">
        <v>91</v>
      </c>
      <c r="B7" s="8"/>
      <c r="C7" s="8"/>
      <c r="D7" s="8" t="s">
        <v>8</v>
      </c>
      <c r="E7" s="8">
        <v>0.82228999999999997</v>
      </c>
      <c r="F7" s="8">
        <v>0.65868000000000004</v>
      </c>
      <c r="G7" s="17">
        <f t="shared" si="0"/>
        <v>-0.19896873365844159</v>
      </c>
      <c r="H7" s="8">
        <f>SQRT(H6^2*529/(256.85+1.62*70.5)*0.9^2)</f>
        <v>0.70652502972501319</v>
      </c>
      <c r="I7" s="17">
        <f t="shared" si="1"/>
        <v>-0.14078362898124358</v>
      </c>
      <c r="J7" s="8"/>
      <c r="K7" s="8">
        <f>SQRT(K6^2*529/(256.85+1.62*70.5)*0.9^2)</f>
        <v>0.59489310505792437</v>
      </c>
      <c r="L7" s="17">
        <f t="shared" si="2"/>
        <v>-0.2765409951988661</v>
      </c>
      <c r="M7" s="19">
        <v>491</v>
      </c>
      <c r="N7" s="2"/>
      <c r="R7" s="25"/>
    </row>
    <row r="8" spans="1:19" x14ac:dyDescent="0.2">
      <c r="A8" s="22">
        <v>12432.3534</v>
      </c>
      <c r="B8" s="8" t="s">
        <v>105</v>
      </c>
      <c r="C8" s="8" t="s">
        <v>19</v>
      </c>
      <c r="D8" s="8" t="s">
        <v>6</v>
      </c>
      <c r="E8" s="8">
        <v>0.34849999999999998</v>
      </c>
      <c r="F8" s="8">
        <v>0.35311999999999999</v>
      </c>
      <c r="G8" s="17">
        <f t="shared" si="0"/>
        <v>1.3256814921090425E-2</v>
      </c>
      <c r="H8" s="8">
        <f>[1]test_program!$Q$18</f>
        <v>0.348406714121967</v>
      </c>
      <c r="I8" s="17">
        <f t="shared" si="1"/>
        <v>-2.6767827269147252E-4</v>
      </c>
      <c r="J8" s="2">
        <v>2045</v>
      </c>
      <c r="K8" s="8">
        <f>1/2/PI()*SQRT(9.8*1000/J8)</f>
        <v>0.34840671222942471</v>
      </c>
      <c r="L8" s="17">
        <f t="shared" si="2"/>
        <v>-2.676837032288887E-4</v>
      </c>
      <c r="M8" s="19">
        <v>491</v>
      </c>
      <c r="N8" s="2">
        <f t="shared" si="3"/>
        <v>2.0449999999999999</v>
      </c>
      <c r="O8">
        <v>1.7999999999999999E-2</v>
      </c>
      <c r="P8">
        <f>((E8*2*PI())^2-9.8/N8)/2*N8^2*M8</f>
        <v>2.6351007194045297</v>
      </c>
      <c r="R8" s="25">
        <f t="shared" ref="R8" si="8">$A$31*M8*9.8*O8*(N8/O8)^$A$33</f>
        <v>66.04547558530578</v>
      </c>
      <c r="S8">
        <f t="shared" ref="S8" si="9">SQRT(2*R8/N8^2/M8+9.8/(N8))/2/PI()</f>
        <v>0.35073737011098777</v>
      </c>
    </row>
    <row r="9" spans="1:19" x14ac:dyDescent="0.2">
      <c r="A9" s="22" t="s">
        <v>95</v>
      </c>
      <c r="B9" s="8"/>
      <c r="C9" s="8"/>
      <c r="D9" s="8" t="s">
        <v>7</v>
      </c>
      <c r="E9" s="8">
        <v>0.42909999999999998</v>
      </c>
      <c r="F9" s="8">
        <v>0.43784000000000001</v>
      </c>
      <c r="G9" s="17">
        <f t="shared" si="0"/>
        <v>2.0368212537870019E-2</v>
      </c>
      <c r="H9" s="8">
        <f>[1]test_program!$P$18</f>
        <v>0.46644713664733961</v>
      </c>
      <c r="I9" s="17">
        <f t="shared" si="1"/>
        <v>8.7035974475272976E-2</v>
      </c>
      <c r="J9" s="8">
        <v>1410</v>
      </c>
      <c r="K9" s="8">
        <f>1/2/PI()*SQRT(9.8*1000/J9)</f>
        <v>0.41958853529737705</v>
      </c>
      <c r="L9" s="17">
        <f t="shared" si="2"/>
        <v>-2.2166079474767956E-2</v>
      </c>
      <c r="M9" s="19">
        <v>491</v>
      </c>
      <c r="N9" s="2">
        <f t="shared" si="3"/>
        <v>1.41</v>
      </c>
      <c r="O9">
        <v>1.7999999999999999E-2</v>
      </c>
      <c r="Q9">
        <f>((E9*2*PI())^2-9.8/N9)/4*N9^2*M9</f>
        <v>77.770555103962579</v>
      </c>
      <c r="R9" s="25">
        <f t="shared" ref="R9" si="10">$A$41*M9*9.8*O9*(N9/O9)^$A$43</f>
        <v>206.30297761595091</v>
      </c>
      <c r="S9">
        <f t="shared" ref="S9" si="11">SQRT(4*R9/N9^2/M9+9.8/(N9))/2/PI()</f>
        <v>0.44437367030863895</v>
      </c>
    </row>
    <row r="10" spans="1:19" x14ac:dyDescent="0.2">
      <c r="A10" s="22">
        <v>-3.1396000000000002</v>
      </c>
      <c r="B10" s="8"/>
      <c r="C10" s="8"/>
      <c r="D10" s="8" t="s">
        <v>8</v>
      </c>
      <c r="E10" s="8">
        <v>0.69267000000000001</v>
      </c>
      <c r="F10" s="8">
        <v>0.50749999999999995</v>
      </c>
      <c r="G10" s="17">
        <f t="shared" si="0"/>
        <v>-0.26732787618923881</v>
      </c>
      <c r="H10" s="8">
        <f>SQRT(H9^2*529/(256.85+1.62*60.5)*0.9^2)</f>
        <v>0.51255945923677448</v>
      </c>
      <c r="I10" s="17">
        <f t="shared" si="1"/>
        <v>-0.26002359097871358</v>
      </c>
      <c r="J10" s="8"/>
      <c r="K10" s="8">
        <f>SQRT(K9^2*529/(256.85+1.62*60.5)*0.9^2)</f>
        <v>0.46106848098539077</v>
      </c>
      <c r="L10" s="17">
        <f t="shared" si="2"/>
        <v>-0.33436054544676286</v>
      </c>
      <c r="M10" s="19">
        <v>491</v>
      </c>
      <c r="N10" s="2"/>
      <c r="R10" s="25"/>
    </row>
    <row r="11" spans="1:19" x14ac:dyDescent="0.2">
      <c r="A11" s="22" t="s">
        <v>96</v>
      </c>
      <c r="B11" s="8"/>
      <c r="C11" s="8" t="s">
        <v>20</v>
      </c>
      <c r="D11" s="8" t="s">
        <v>6</v>
      </c>
      <c r="E11" s="8">
        <v>0.35039999999999999</v>
      </c>
      <c r="F11" s="8">
        <v>0.35311999999999999</v>
      </c>
      <c r="G11" s="17">
        <f t="shared" si="0"/>
        <v>7.7625570776255716E-3</v>
      </c>
      <c r="H11" s="8">
        <f>[1]test_program!$Q$18</f>
        <v>0.348406714121967</v>
      </c>
      <c r="I11" s="17">
        <f t="shared" si="1"/>
        <v>-5.6886012500941526E-3</v>
      </c>
      <c r="J11" s="2">
        <v>2045</v>
      </c>
      <c r="K11" s="8">
        <f>1/2/PI()*SQRT(9.8*1000/J11)</f>
        <v>0.34840671222942471</v>
      </c>
      <c r="L11" s="17">
        <f t="shared" si="2"/>
        <v>-5.688606651185161E-3</v>
      </c>
      <c r="M11" s="19">
        <v>491</v>
      </c>
      <c r="N11" s="2">
        <f t="shared" si="3"/>
        <v>2.0449999999999999</v>
      </c>
      <c r="O11">
        <v>1.7999999999999999E-2</v>
      </c>
      <c r="P11">
        <f>((E11*2*PI())^2-9.8/N11)/2*N11^2*M11</f>
        <v>56.457927012878876</v>
      </c>
      <c r="R11" s="25">
        <f t="shared" ref="R11" si="12">$A$31*M11*9.8*O11*(N11/O11)^$A$33</f>
        <v>66.04547558530578</v>
      </c>
      <c r="S11">
        <f t="shared" ref="S11" si="13">SQRT(2*R11/N11^2/M11+9.8/(N11))/2/PI()</f>
        <v>0.35073737011098777</v>
      </c>
    </row>
    <row r="12" spans="1:19" x14ac:dyDescent="0.2">
      <c r="A12" s="22">
        <v>7.7499999999999999E-2</v>
      </c>
      <c r="B12" s="8"/>
      <c r="C12" s="8"/>
      <c r="D12" s="8" t="s">
        <v>7</v>
      </c>
      <c r="E12" s="8">
        <v>0.4405</v>
      </c>
      <c r="F12" s="8">
        <v>0.43784000000000001</v>
      </c>
      <c r="G12" s="17">
        <f t="shared" si="0"/>
        <v>-6.0385925085130439E-3</v>
      </c>
      <c r="H12" s="8">
        <f>[1]test_program!$P$18</f>
        <v>0.46644713664733961</v>
      </c>
      <c r="I12" s="17">
        <f t="shared" si="1"/>
        <v>5.8903828938341903E-2</v>
      </c>
      <c r="J12" s="8">
        <v>1410</v>
      </c>
      <c r="K12" s="8">
        <f>1/2/PI()*SQRT(9.8*1000/J12)</f>
        <v>0.41958853529737705</v>
      </c>
      <c r="L12" s="17">
        <f t="shared" si="2"/>
        <v>-4.7472110562140638E-2</v>
      </c>
      <c r="M12" s="19">
        <v>491</v>
      </c>
      <c r="N12" s="2">
        <f t="shared" si="3"/>
        <v>1.41</v>
      </c>
      <c r="O12">
        <v>1.7999999999999999E-2</v>
      </c>
      <c r="Q12">
        <f t="shared" ref="Q12" si="14">((E12*2*PI())^2-9.8/N12)/4*N12^2*M12</f>
        <v>173.27945554855236</v>
      </c>
      <c r="R12" s="25">
        <f t="shared" ref="R12" si="15">$A$41*M12*9.8*O12*(N12/O12)^$A$43</f>
        <v>206.30297761595091</v>
      </c>
      <c r="S12">
        <f t="shared" ref="S12" si="16">SQRT(4*R12/N12^2/M12+9.8/(N12))/2/PI()</f>
        <v>0.44437367030863895</v>
      </c>
    </row>
    <row r="13" spans="1:19" x14ac:dyDescent="0.2">
      <c r="A13" s="22" t="s">
        <v>97</v>
      </c>
      <c r="B13" s="8"/>
      <c r="C13" s="8"/>
      <c r="D13" s="8" t="s">
        <v>8</v>
      </c>
      <c r="E13" s="8">
        <v>0.69567000000000001</v>
      </c>
      <c r="F13" s="8">
        <v>0.50749999999999995</v>
      </c>
      <c r="G13" s="17">
        <f t="shared" si="0"/>
        <v>-0.27048744375925377</v>
      </c>
      <c r="H13" s="8">
        <f>SQRT(H12^2*529/(256.85+1.62*60.5)*0.9^2)</f>
        <v>0.51255945923677448</v>
      </c>
      <c r="I13" s="17">
        <f t="shared" si="1"/>
        <v>-0.26321465747153899</v>
      </c>
      <c r="J13" s="8"/>
      <c r="K13" s="8">
        <f>SQRT(K12^2*529/(256.85+1.62*60.5)*0.9^2)</f>
        <v>0.46106848098539077</v>
      </c>
      <c r="L13" s="17">
        <f t="shared" si="2"/>
        <v>-0.33723104203804855</v>
      </c>
      <c r="M13" s="19">
        <v>491</v>
      </c>
      <c r="N13" s="2"/>
      <c r="R13" s="25"/>
    </row>
    <row r="14" spans="1:19" x14ac:dyDescent="0.2">
      <c r="A14" s="22">
        <v>100.4752</v>
      </c>
      <c r="B14" s="4"/>
      <c r="C14" s="4"/>
      <c r="D14" s="4"/>
      <c r="E14" s="4"/>
      <c r="F14" s="4"/>
      <c r="G14" s="5"/>
      <c r="H14" s="4"/>
      <c r="I14" s="5"/>
      <c r="J14" s="6"/>
      <c r="K14" s="4"/>
      <c r="L14" s="5"/>
      <c r="M14" s="4"/>
      <c r="N14" s="4"/>
    </row>
    <row r="15" spans="1:19" x14ac:dyDescent="0.2">
      <c r="A15" s="22"/>
      <c r="B15" s="4"/>
      <c r="C15" s="4"/>
      <c r="D15" s="4"/>
      <c r="E15" s="4"/>
      <c r="F15" s="4"/>
      <c r="G15" s="5"/>
      <c r="H15" s="4"/>
      <c r="I15" s="5"/>
      <c r="J15" s="4"/>
      <c r="K15" s="4"/>
      <c r="L15" s="4"/>
      <c r="M15" s="4"/>
      <c r="N15" s="4"/>
    </row>
    <row r="16" spans="1:19" x14ac:dyDescent="0.2">
      <c r="A16" s="22" t="s">
        <v>92</v>
      </c>
      <c r="B16" s="4"/>
      <c r="C16" s="4"/>
      <c r="D16" s="4"/>
      <c r="E16" s="4"/>
      <c r="F16" s="4"/>
      <c r="G16" s="5"/>
      <c r="H16" s="4"/>
      <c r="I16" s="5"/>
      <c r="J16" s="4"/>
      <c r="K16" s="4"/>
      <c r="L16" s="4"/>
      <c r="M16" s="4"/>
      <c r="N16" s="4"/>
    </row>
    <row r="17" spans="1:14" x14ac:dyDescent="0.2">
      <c r="A17" s="22">
        <v>-156.53540000000001</v>
      </c>
      <c r="B17" s="4"/>
      <c r="C17" s="4"/>
      <c r="D17" s="4"/>
      <c r="E17" s="4"/>
      <c r="F17" s="4"/>
      <c r="G17" s="5"/>
      <c r="H17" s="4"/>
      <c r="I17" s="5"/>
      <c r="J17" s="6"/>
      <c r="K17" s="4"/>
      <c r="L17" s="5"/>
      <c r="M17" s="4"/>
      <c r="N17" s="4"/>
    </row>
    <row r="18" spans="1:14" x14ac:dyDescent="0.2">
      <c r="A18" s="22" t="s">
        <v>93</v>
      </c>
      <c r="B18" s="4"/>
      <c r="C18" s="4"/>
      <c r="D18" s="4"/>
      <c r="E18" s="4"/>
      <c r="F18" s="4"/>
      <c r="G18" s="5"/>
      <c r="H18" s="4"/>
      <c r="I18" s="5"/>
      <c r="J18" s="4"/>
      <c r="K18" s="4"/>
      <c r="L18" s="4"/>
      <c r="M18" s="4"/>
      <c r="N18" s="4"/>
    </row>
    <row r="19" spans="1:14" x14ac:dyDescent="0.2">
      <c r="A19" s="22">
        <v>4200.5456999999997</v>
      </c>
      <c r="B19" s="4"/>
      <c r="C19" s="4"/>
      <c r="D19" s="4"/>
      <c r="E19" s="4"/>
      <c r="F19" s="4"/>
      <c r="G19" s="5"/>
      <c r="H19" s="4"/>
      <c r="I19" s="5"/>
      <c r="J19" s="4"/>
      <c r="K19" s="4"/>
      <c r="L19" s="4"/>
      <c r="M19" s="4"/>
      <c r="N19" s="4"/>
    </row>
    <row r="20" spans="1:14" x14ac:dyDescent="0.2">
      <c r="A20" s="22" t="s">
        <v>94</v>
      </c>
      <c r="B20" s="4"/>
      <c r="C20" s="4"/>
      <c r="D20" s="4"/>
      <c r="E20" s="4"/>
      <c r="F20" s="4"/>
      <c r="G20" s="5"/>
      <c r="H20" s="4"/>
      <c r="I20" s="5"/>
      <c r="J20" s="6"/>
      <c r="K20" s="4"/>
      <c r="L20" s="5"/>
      <c r="M20" s="4"/>
      <c r="N20" s="4"/>
    </row>
    <row r="21" spans="1:14" x14ac:dyDescent="0.2">
      <c r="A21" s="22">
        <v>30658.237000000001</v>
      </c>
      <c r="B21" s="4"/>
      <c r="C21" s="4"/>
      <c r="D21" s="4"/>
      <c r="E21" s="4"/>
      <c r="F21" s="4"/>
      <c r="G21" s="5"/>
      <c r="H21" s="4"/>
      <c r="I21" s="5"/>
      <c r="J21" s="4"/>
      <c r="K21" s="4"/>
      <c r="L21" s="4"/>
      <c r="M21" s="4"/>
      <c r="N21" s="4"/>
    </row>
    <row r="22" spans="1:14" x14ac:dyDescent="0.2">
      <c r="A22" s="22" t="s">
        <v>95</v>
      </c>
      <c r="B22" s="4"/>
      <c r="C22" s="4"/>
      <c r="D22" s="4"/>
      <c r="E22" s="4"/>
      <c r="F22" s="4"/>
      <c r="G22" s="5"/>
      <c r="H22" s="4"/>
      <c r="I22" s="5"/>
      <c r="J22" s="4"/>
      <c r="K22" s="4"/>
      <c r="L22" s="4"/>
      <c r="M22" s="4"/>
      <c r="N22" s="4"/>
    </row>
    <row r="23" spans="1:14" x14ac:dyDescent="0.2">
      <c r="A23" s="22">
        <v>-11.124700000000001</v>
      </c>
      <c r="B23" s="4"/>
      <c r="C23" s="4"/>
      <c r="D23" s="4"/>
      <c r="E23" s="4"/>
      <c r="F23" s="4"/>
      <c r="G23" s="5"/>
      <c r="H23" s="4"/>
      <c r="I23" s="5"/>
      <c r="J23" s="6"/>
      <c r="K23" s="4"/>
      <c r="L23" s="5"/>
      <c r="M23" s="4"/>
      <c r="N23" s="4"/>
    </row>
    <row r="24" spans="1:14" x14ac:dyDescent="0.2">
      <c r="A24" s="22" t="s">
        <v>96</v>
      </c>
      <c r="B24" s="4"/>
      <c r="C24" s="4"/>
      <c r="D24" s="4"/>
      <c r="E24" s="4"/>
      <c r="F24" s="4"/>
      <c r="G24" s="5"/>
      <c r="H24" s="4"/>
      <c r="I24" s="5"/>
      <c r="J24" s="4"/>
      <c r="K24" s="4"/>
      <c r="L24" s="4"/>
      <c r="M24" s="4"/>
      <c r="N24" s="4"/>
    </row>
    <row r="25" spans="1:14" x14ac:dyDescent="0.2">
      <c r="A25" s="22">
        <v>0.20200000000000001</v>
      </c>
      <c r="B25" s="4"/>
      <c r="C25" s="4"/>
      <c r="D25" s="4"/>
      <c r="E25" s="4"/>
      <c r="F25" s="4"/>
      <c r="G25" s="5"/>
      <c r="H25" s="4"/>
      <c r="I25" s="5"/>
      <c r="J25" s="4"/>
      <c r="K25" s="4"/>
      <c r="L25" s="4"/>
      <c r="M25" s="4"/>
      <c r="N25" s="4"/>
    </row>
    <row r="26" spans="1:14" x14ac:dyDescent="0.2">
      <c r="A26" s="22" t="s">
        <v>97</v>
      </c>
      <c r="B26" s="4"/>
      <c r="C26" s="4"/>
      <c r="D26" s="4"/>
      <c r="E26" s="4"/>
      <c r="F26" s="4"/>
      <c r="G26" s="5"/>
      <c r="H26" s="4"/>
      <c r="I26" s="5"/>
      <c r="J26" s="7"/>
      <c r="K26" s="4"/>
      <c r="L26" s="5"/>
      <c r="M26" s="4"/>
      <c r="N26" s="4"/>
    </row>
    <row r="27" spans="1:14" x14ac:dyDescent="0.2">
      <c r="A27" s="22">
        <v>198.22460000000001</v>
      </c>
      <c r="B27" s="4"/>
      <c r="C27" s="4"/>
      <c r="D27" s="4"/>
      <c r="E27" s="4"/>
      <c r="F27" s="4"/>
      <c r="G27" s="5"/>
      <c r="H27" s="4"/>
      <c r="I27" s="5"/>
      <c r="J27" s="4"/>
      <c r="K27" s="4"/>
      <c r="L27" s="4"/>
      <c r="M27" s="4"/>
      <c r="N27" s="4"/>
    </row>
    <row r="28" spans="1:14" x14ac:dyDescent="0.2">
      <c r="A28" s="4"/>
      <c r="B28" s="4"/>
      <c r="C28" s="4"/>
      <c r="D28" s="4"/>
      <c r="E28" s="4"/>
      <c r="F28" s="4"/>
      <c r="G28" s="5"/>
      <c r="H28" s="4"/>
      <c r="I28" s="5"/>
      <c r="J28" s="4"/>
      <c r="K28" s="4"/>
      <c r="L28" s="4"/>
      <c r="M28" s="4"/>
      <c r="N28" s="4"/>
    </row>
    <row r="29" spans="1:14" x14ac:dyDescent="0.2">
      <c r="A29" s="23" t="s">
        <v>99</v>
      </c>
      <c r="B29" s="4"/>
      <c r="C29" s="4"/>
      <c r="D29" s="4"/>
      <c r="E29" s="4"/>
      <c r="F29" s="4"/>
      <c r="G29" s="5"/>
      <c r="H29" s="4"/>
      <c r="I29" s="5"/>
      <c r="J29" s="7"/>
      <c r="K29" s="4"/>
      <c r="L29" s="5"/>
      <c r="M29" s="4"/>
      <c r="N29" s="4"/>
    </row>
    <row r="30" spans="1:14" x14ac:dyDescent="0.2">
      <c r="A30" t="s">
        <v>19</v>
      </c>
      <c r="B30" s="4"/>
      <c r="C30" s="4"/>
      <c r="D30" s="4"/>
      <c r="E30" s="4"/>
      <c r="F30" s="4"/>
      <c r="G30" s="5"/>
      <c r="H30" s="4"/>
      <c r="I30" s="5"/>
      <c r="J30" s="4"/>
      <c r="K30" s="4"/>
      <c r="L30" s="4"/>
      <c r="M30" s="4"/>
      <c r="N30" s="4"/>
    </row>
    <row r="31" spans="1:14" x14ac:dyDescent="0.2">
      <c r="A31" s="24">
        <v>1.1244E-3</v>
      </c>
      <c r="B31" s="4"/>
      <c r="C31" s="4"/>
      <c r="D31" s="4"/>
      <c r="E31" s="4"/>
      <c r="F31" s="4"/>
      <c r="G31" s="5"/>
      <c r="H31" s="4"/>
      <c r="I31" s="5"/>
      <c r="J31" s="4"/>
      <c r="K31" s="4"/>
      <c r="L31" s="4"/>
      <c r="M31" s="4"/>
      <c r="N31" s="4"/>
    </row>
    <row r="32" spans="1:14" x14ac:dyDescent="0.2">
      <c r="A32" t="s">
        <v>101</v>
      </c>
      <c r="B32" s="4"/>
      <c r="C32" s="4"/>
      <c r="D32" s="4"/>
      <c r="E32" s="4"/>
      <c r="F32" s="4"/>
      <c r="G32" s="5"/>
      <c r="H32" s="4"/>
      <c r="I32" s="5"/>
      <c r="J32" s="7"/>
      <c r="K32" s="4"/>
      <c r="L32" s="5"/>
      <c r="M32" s="4"/>
      <c r="N32" s="4"/>
    </row>
    <row r="33" spans="1:14" x14ac:dyDescent="0.2">
      <c r="A33">
        <v>1.3774999999999999</v>
      </c>
      <c r="B33" s="4"/>
      <c r="C33" s="4"/>
      <c r="D33" s="4"/>
      <c r="E33" s="4"/>
      <c r="F33" s="4"/>
      <c r="G33" s="5"/>
      <c r="H33" s="4"/>
      <c r="I33" s="5"/>
      <c r="J33" s="4"/>
      <c r="K33" s="4"/>
      <c r="L33" s="4"/>
      <c r="M33" s="4"/>
      <c r="N33" s="4"/>
    </row>
    <row r="34" spans="1:14" x14ac:dyDescent="0.2">
      <c r="B34" s="4"/>
      <c r="C34" s="4"/>
      <c r="D34" s="4"/>
      <c r="E34" s="4"/>
      <c r="F34" s="4"/>
      <c r="G34" s="5"/>
      <c r="H34" s="4"/>
      <c r="I34" s="5"/>
      <c r="J34" s="4"/>
      <c r="K34" s="4"/>
      <c r="L34" s="4"/>
      <c r="M34" s="4"/>
      <c r="N34" s="4"/>
    </row>
    <row r="35" spans="1:14" x14ac:dyDescent="0.2">
      <c r="B35" s="4"/>
      <c r="C35" s="4"/>
      <c r="D35" s="4"/>
      <c r="E35" s="4"/>
      <c r="F35" s="4"/>
      <c r="G35" s="5"/>
      <c r="H35" s="4"/>
      <c r="I35" s="5"/>
      <c r="J35" s="7"/>
      <c r="K35" s="4"/>
      <c r="L35" s="5"/>
      <c r="M35" s="4"/>
      <c r="N35" s="4"/>
    </row>
    <row r="36" spans="1:14" x14ac:dyDescent="0.2">
      <c r="B36" s="4"/>
      <c r="C36" s="4"/>
      <c r="D36" s="4"/>
      <c r="E36" s="4"/>
      <c r="F36" s="4"/>
      <c r="G36" s="5"/>
      <c r="H36" s="4"/>
      <c r="I36" s="5"/>
      <c r="J36" s="4"/>
      <c r="K36" s="4"/>
      <c r="L36" s="4"/>
      <c r="M36" s="4"/>
      <c r="N36" s="4"/>
    </row>
    <row r="37" spans="1:14" x14ac:dyDescent="0.2">
      <c r="B37" s="4"/>
      <c r="C37" s="4"/>
      <c r="D37" s="4"/>
      <c r="E37" s="4"/>
      <c r="F37" s="4"/>
      <c r="G37" s="5"/>
      <c r="H37" s="4"/>
      <c r="I37" s="5"/>
      <c r="J37" s="4"/>
      <c r="K37" s="4"/>
      <c r="L37" s="4"/>
      <c r="M37" s="4"/>
      <c r="N37" s="4"/>
    </row>
    <row r="38" spans="1:14" x14ac:dyDescent="0.2">
      <c r="B38" s="4"/>
      <c r="C38" s="4"/>
      <c r="D38" s="4"/>
      <c r="E38" s="4"/>
      <c r="F38" s="4"/>
      <c r="G38" s="5"/>
      <c r="H38" s="4"/>
      <c r="I38" s="5"/>
      <c r="J38" s="7"/>
      <c r="K38" s="4"/>
      <c r="L38" s="5"/>
      <c r="M38" s="4"/>
      <c r="N38" s="4"/>
    </row>
    <row r="39" spans="1:14" x14ac:dyDescent="0.2">
      <c r="A39" s="23" t="s">
        <v>100</v>
      </c>
      <c r="B39" s="4"/>
      <c r="C39" s="4"/>
      <c r="D39" s="4"/>
      <c r="E39" s="4"/>
      <c r="F39" s="4"/>
      <c r="G39" s="5"/>
      <c r="H39" s="4"/>
      <c r="I39" s="5"/>
      <c r="J39" s="4"/>
      <c r="K39" s="4"/>
      <c r="L39" s="4"/>
      <c r="M39" s="4"/>
      <c r="N39" s="4"/>
    </row>
    <row r="40" spans="1:14" x14ac:dyDescent="0.2">
      <c r="A40" t="s">
        <v>19</v>
      </c>
      <c r="B40" s="4"/>
      <c r="C40" s="4"/>
      <c r="D40" s="4"/>
      <c r="E40" s="4"/>
      <c r="F40" s="4"/>
      <c r="G40" s="5"/>
      <c r="H40" s="4"/>
      <c r="I40" s="5"/>
      <c r="J40" s="4"/>
      <c r="K40" s="4"/>
      <c r="L40" s="4"/>
      <c r="M40" s="4"/>
      <c r="N40" s="4"/>
    </row>
    <row r="41" spans="1:14" x14ac:dyDescent="0.2">
      <c r="A41" s="24">
        <v>7.6246999999999995E-2</v>
      </c>
      <c r="B41" s="4"/>
      <c r="C41" s="4"/>
      <c r="D41" s="4"/>
      <c r="E41" s="4"/>
      <c r="F41" s="4"/>
      <c r="G41" s="5"/>
      <c r="H41" s="4"/>
      <c r="I41" s="5"/>
      <c r="J41" s="7"/>
      <c r="K41" s="4"/>
      <c r="L41" s="5"/>
      <c r="M41" s="4"/>
      <c r="N41" s="4"/>
    </row>
    <row r="42" spans="1:14" x14ac:dyDescent="0.2">
      <c r="A42" t="s">
        <v>101</v>
      </c>
      <c r="B42" s="4"/>
      <c r="C42" s="4"/>
      <c r="D42" s="4"/>
      <c r="E42" s="4"/>
      <c r="F42" s="4"/>
      <c r="G42" s="5"/>
      <c r="H42" s="4"/>
      <c r="I42" s="5"/>
      <c r="J42" s="4"/>
      <c r="K42" s="4"/>
      <c r="L42" s="4"/>
      <c r="M42" s="4"/>
      <c r="N42" s="4"/>
    </row>
    <row r="43" spans="1:14" x14ac:dyDescent="0.2">
      <c r="A43">
        <v>0.78920000000000001</v>
      </c>
      <c r="B43" s="4"/>
      <c r="C43" s="4"/>
      <c r="D43" s="4"/>
      <c r="E43" s="4"/>
      <c r="F43" s="4"/>
      <c r="G43" s="5"/>
      <c r="H43" s="4"/>
      <c r="I43" s="5"/>
      <c r="J43" s="4"/>
      <c r="K43" s="4"/>
      <c r="L43" s="4"/>
      <c r="M43" s="4"/>
      <c r="N43" s="4"/>
    </row>
    <row r="44" spans="1:14" x14ac:dyDescent="0.2">
      <c r="B44" s="4"/>
      <c r="C44" s="4"/>
      <c r="D44" s="4"/>
      <c r="E44" s="4"/>
      <c r="F44" s="4"/>
      <c r="G44" s="5"/>
      <c r="H44" s="4"/>
      <c r="I44" s="5"/>
      <c r="J44" s="7"/>
      <c r="K44" s="4"/>
      <c r="L44" s="5"/>
      <c r="M44" s="4"/>
      <c r="N44" s="4"/>
    </row>
    <row r="45" spans="1:14" x14ac:dyDescent="0.2">
      <c r="B45" s="4"/>
      <c r="C45" s="4"/>
      <c r="D45" s="4"/>
      <c r="E45" s="4"/>
      <c r="F45" s="4"/>
      <c r="G45" s="5"/>
      <c r="H45" s="4"/>
      <c r="I45" s="5"/>
      <c r="J45" s="4"/>
      <c r="K45" s="4"/>
      <c r="L45" s="4"/>
      <c r="M45" s="4"/>
      <c r="N45" s="4"/>
    </row>
    <row r="46" spans="1:14" x14ac:dyDescent="0.2">
      <c r="B46" s="4"/>
      <c r="C46" s="4"/>
      <c r="D46" s="4"/>
      <c r="E46" s="4"/>
      <c r="F46" s="4"/>
      <c r="G46" s="5"/>
      <c r="H46" s="4"/>
      <c r="I46" s="5"/>
      <c r="J46" s="4"/>
      <c r="K46" s="4"/>
      <c r="L46" s="4"/>
      <c r="M46" s="4"/>
      <c r="N46" s="4"/>
    </row>
    <row r="47" spans="1:14" x14ac:dyDescent="0.2">
      <c r="A47" s="4"/>
      <c r="B47" s="4"/>
      <c r="C47" s="4"/>
      <c r="D47" s="4"/>
      <c r="E47" s="4"/>
      <c r="F47" s="4"/>
      <c r="G47" s="5"/>
      <c r="H47" s="4"/>
      <c r="I47" s="5"/>
      <c r="J47" s="7"/>
      <c r="K47" s="4"/>
      <c r="L47" s="5"/>
      <c r="M47" s="4"/>
      <c r="N47" s="4"/>
    </row>
    <row r="48" spans="1:14" x14ac:dyDescent="0.2">
      <c r="A48" s="4"/>
      <c r="B48" s="4"/>
      <c r="C48" s="4"/>
      <c r="D48" s="4"/>
      <c r="E48" s="4"/>
      <c r="F48" s="4"/>
      <c r="G48" s="5"/>
      <c r="H48" s="4"/>
      <c r="I48" s="5"/>
      <c r="J48" s="4"/>
      <c r="K48" s="4"/>
      <c r="L48" s="4"/>
      <c r="M48" s="4"/>
      <c r="N48" s="4"/>
    </row>
    <row r="49" spans="1:14" x14ac:dyDescent="0.2">
      <c r="A49" s="4"/>
      <c r="B49" s="4"/>
      <c r="C49" s="4"/>
      <c r="D49" s="4"/>
      <c r="E49" s="4"/>
      <c r="F49" s="4"/>
      <c r="G49" s="5"/>
      <c r="H49" s="4"/>
      <c r="I49" s="5"/>
      <c r="J49" s="4"/>
      <c r="K49" s="4"/>
      <c r="L49" s="4"/>
      <c r="M49" s="4"/>
      <c r="N49" s="4"/>
    </row>
    <row r="50" spans="1:14" x14ac:dyDescent="0.2">
      <c r="A50" s="4"/>
      <c r="B50" s="4"/>
      <c r="C50" s="4"/>
      <c r="D50" s="4"/>
      <c r="E50" s="4"/>
      <c r="F50" s="4"/>
      <c r="G50" s="5"/>
      <c r="H50" s="4"/>
      <c r="I50" s="5"/>
      <c r="J50" s="7"/>
      <c r="K50" s="4"/>
      <c r="L50" s="5"/>
      <c r="M50" s="4"/>
      <c r="N50" s="4"/>
    </row>
    <row r="51" spans="1:14" x14ac:dyDescent="0.2">
      <c r="A51" s="4"/>
      <c r="B51" s="4"/>
      <c r="C51" s="4"/>
      <c r="D51" s="4"/>
      <c r="E51" s="4"/>
      <c r="F51" s="4"/>
      <c r="G51" s="5"/>
      <c r="H51" s="4"/>
      <c r="I51" s="5"/>
      <c r="J51" s="4"/>
      <c r="K51" s="4"/>
      <c r="L51" s="4"/>
      <c r="M51" s="4"/>
      <c r="N51" s="4"/>
    </row>
    <row r="52" spans="1:14" x14ac:dyDescent="0.2">
      <c r="A52" s="4"/>
      <c r="B52" s="4"/>
      <c r="C52" s="4"/>
      <c r="D52" s="4"/>
      <c r="E52" s="4"/>
      <c r="F52" s="4"/>
      <c r="G52" s="5"/>
      <c r="H52" s="4"/>
      <c r="I52" s="5"/>
      <c r="J52" s="4"/>
      <c r="K52" s="4"/>
      <c r="L52" s="4"/>
      <c r="M52" s="4"/>
      <c r="N52" s="4"/>
    </row>
    <row r="53" spans="1:14" x14ac:dyDescent="0.2">
      <c r="A53" s="4"/>
      <c r="B53" s="4"/>
      <c r="C53" s="4"/>
      <c r="D53" s="4"/>
      <c r="E53" s="4"/>
      <c r="F53" s="4"/>
      <c r="G53" s="5"/>
      <c r="H53" s="4"/>
      <c r="I53" s="5"/>
      <c r="J53" s="7"/>
      <c r="K53" s="4"/>
      <c r="L53" s="5"/>
      <c r="M53" s="4"/>
      <c r="N53" s="4"/>
    </row>
    <row r="54" spans="1:14" x14ac:dyDescent="0.2">
      <c r="A54" s="4"/>
      <c r="B54" s="4"/>
      <c r="C54" s="4"/>
      <c r="D54" s="4"/>
      <c r="E54" s="4"/>
      <c r="F54" s="4"/>
      <c r="G54" s="5"/>
      <c r="H54" s="4"/>
      <c r="I54" s="5"/>
      <c r="J54" s="4"/>
      <c r="K54" s="4"/>
      <c r="L54" s="4"/>
      <c r="M54" s="4"/>
      <c r="N54" s="4"/>
    </row>
    <row r="55" spans="1:14" x14ac:dyDescent="0.2">
      <c r="A55" s="4"/>
      <c r="B55" s="4"/>
      <c r="C55" s="4"/>
      <c r="D55" s="4"/>
      <c r="E55" s="4"/>
      <c r="F55" s="4"/>
      <c r="G55" s="5"/>
      <c r="H55" s="4"/>
      <c r="I55" s="5"/>
      <c r="J55" s="4"/>
      <c r="K55" s="4"/>
      <c r="L55" s="4"/>
      <c r="M55" s="4"/>
      <c r="N55" s="4"/>
    </row>
    <row r="56" spans="1:14" x14ac:dyDescent="0.2">
      <c r="A56" s="4"/>
      <c r="B56" s="4"/>
      <c r="C56" s="4"/>
      <c r="D56" s="4"/>
      <c r="E56" s="4"/>
      <c r="F56" s="4"/>
      <c r="G56" s="5"/>
      <c r="H56" s="4"/>
      <c r="I56" s="5"/>
      <c r="J56" s="7"/>
      <c r="K56" s="4"/>
      <c r="L56" s="5"/>
      <c r="M56" s="4"/>
      <c r="N56" s="4"/>
    </row>
    <row r="57" spans="1:14" x14ac:dyDescent="0.2">
      <c r="A57" s="4"/>
      <c r="B57" s="4"/>
      <c r="C57" s="4"/>
      <c r="D57" s="4"/>
      <c r="E57" s="4"/>
      <c r="F57" s="4"/>
      <c r="G57" s="5"/>
      <c r="H57" s="4"/>
      <c r="I57" s="5"/>
      <c r="J57" s="4"/>
      <c r="K57" s="4"/>
      <c r="L57" s="4"/>
      <c r="M57" s="4"/>
      <c r="N57" s="4"/>
    </row>
    <row r="58" spans="1:14" x14ac:dyDescent="0.2">
      <c r="A58" s="4"/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  <c r="N58" s="4"/>
    </row>
    <row r="59" spans="1:14" x14ac:dyDescent="0.2">
      <c r="A59" s="4"/>
      <c r="B59" s="4"/>
      <c r="C59" s="4"/>
      <c r="D59" s="4"/>
      <c r="E59" s="4"/>
      <c r="F59" s="4"/>
      <c r="G59" s="5"/>
      <c r="H59" s="4"/>
      <c r="I59" s="5"/>
      <c r="J59" s="7"/>
      <c r="K59" s="4"/>
      <c r="L59" s="5"/>
      <c r="M59" s="4"/>
      <c r="N59" s="4"/>
    </row>
    <row r="60" spans="1:14" x14ac:dyDescent="0.2">
      <c r="A60" s="4"/>
      <c r="B60" s="4"/>
      <c r="C60" s="4"/>
      <c r="D60" s="4"/>
      <c r="E60" s="4"/>
      <c r="F60" s="4"/>
      <c r="G60" s="5"/>
      <c r="H60" s="4"/>
      <c r="I60" s="5"/>
      <c r="J60" s="4"/>
      <c r="K60" s="4"/>
      <c r="L60" s="4"/>
      <c r="M60" s="4"/>
      <c r="N60" s="4"/>
    </row>
    <row r="61" spans="1:14" x14ac:dyDescent="0.2">
      <c r="A61" s="4"/>
      <c r="B61" s="4"/>
      <c r="C61" s="4"/>
      <c r="D61" s="4"/>
      <c r="E61" s="4"/>
      <c r="F61" s="4"/>
      <c r="G61" s="5"/>
      <c r="H61" s="4"/>
      <c r="I61" s="5"/>
      <c r="J61" s="4"/>
      <c r="K61" s="4"/>
      <c r="L61" s="4"/>
      <c r="M61" s="4"/>
      <c r="N61" s="4"/>
    </row>
    <row r="62" spans="1:14" x14ac:dyDescent="0.2">
      <c r="A62" s="4"/>
      <c r="B62" s="4"/>
      <c r="C62" s="4"/>
      <c r="D62" s="4"/>
      <c r="E62" s="4"/>
      <c r="F62" s="4"/>
      <c r="G62" s="5"/>
      <c r="H62" s="4"/>
      <c r="I62" s="5"/>
      <c r="J62" s="7"/>
      <c r="K62" s="4"/>
      <c r="L62" s="5"/>
      <c r="M62" s="4"/>
      <c r="N62" s="4"/>
    </row>
    <row r="63" spans="1:14" x14ac:dyDescent="0.2">
      <c r="A63" s="4"/>
      <c r="B63" s="4"/>
      <c r="C63" s="4"/>
      <c r="D63" s="4"/>
      <c r="E63" s="4"/>
      <c r="F63" s="4"/>
      <c r="G63" s="5"/>
      <c r="H63" s="4"/>
      <c r="I63" s="5"/>
      <c r="J63" s="4"/>
      <c r="K63" s="4"/>
      <c r="L63" s="4"/>
      <c r="M63" s="4"/>
      <c r="N63" s="4"/>
    </row>
    <row r="64" spans="1:14" x14ac:dyDescent="0.2">
      <c r="A64" s="4"/>
      <c r="B64" s="4"/>
      <c r="C64" s="4"/>
      <c r="D64" s="4"/>
      <c r="E64" s="4"/>
      <c r="F64" s="4"/>
      <c r="G64" s="5"/>
      <c r="H64" s="4"/>
      <c r="I64" s="5"/>
      <c r="J64" s="4"/>
      <c r="K64" s="4"/>
      <c r="L64" s="4"/>
      <c r="M64" s="4"/>
      <c r="N64" s="4"/>
    </row>
    <row r="65" spans="1:14" x14ac:dyDescent="0.2">
      <c r="A65" s="4"/>
      <c r="B65" s="4"/>
      <c r="C65" s="4"/>
      <c r="D65" s="4"/>
      <c r="E65" s="4"/>
      <c r="F65" s="4"/>
      <c r="G65" s="5"/>
      <c r="H65" s="4"/>
      <c r="I65" s="5"/>
      <c r="J65" s="7"/>
      <c r="K65" s="4"/>
      <c r="L65" s="5"/>
      <c r="M65" s="4"/>
      <c r="N65" s="4"/>
    </row>
    <row r="66" spans="1:14" x14ac:dyDescent="0.2">
      <c r="A66" s="4"/>
      <c r="B66" s="4"/>
      <c r="C66" s="4"/>
      <c r="D66" s="4"/>
      <c r="E66" s="4"/>
      <c r="F66" s="4"/>
      <c r="G66" s="5"/>
      <c r="H66" s="4"/>
      <c r="I66" s="5"/>
      <c r="J66" s="4"/>
      <c r="K66" s="4"/>
      <c r="L66" s="4"/>
      <c r="M66" s="4"/>
      <c r="N66" s="4"/>
    </row>
    <row r="67" spans="1:14" x14ac:dyDescent="0.2">
      <c r="A67" s="4"/>
      <c r="B67" s="4"/>
      <c r="C67" s="4"/>
      <c r="D67" s="4"/>
      <c r="E67" s="4"/>
      <c r="F67" s="4"/>
      <c r="G67" s="5"/>
      <c r="H67" s="4"/>
      <c r="I67" s="5"/>
      <c r="J67" s="4"/>
      <c r="K67" s="4"/>
      <c r="L67" s="4"/>
      <c r="M67" s="4"/>
      <c r="N67" s="4"/>
    </row>
    <row r="68" spans="1:14" x14ac:dyDescent="0.2">
      <c r="A68" s="4"/>
      <c r="B68" s="4"/>
      <c r="C68" s="4"/>
      <c r="D68" s="4"/>
      <c r="E68" s="4"/>
      <c r="F68" s="4"/>
      <c r="G68" s="5"/>
      <c r="H68" s="4"/>
      <c r="I68" s="5"/>
      <c r="J68" s="7"/>
      <c r="K68" s="4"/>
      <c r="L68" s="5"/>
      <c r="M68" s="4"/>
      <c r="N68" s="4"/>
    </row>
    <row r="69" spans="1:14" x14ac:dyDescent="0.2">
      <c r="A69" s="4"/>
      <c r="B69" s="4"/>
      <c r="C69" s="4"/>
      <c r="D69" s="4"/>
      <c r="E69" s="4"/>
      <c r="F69" s="4"/>
      <c r="G69" s="5"/>
      <c r="H69" s="4"/>
      <c r="I69" s="5"/>
      <c r="J69" s="4"/>
      <c r="K69" s="4"/>
      <c r="L69" s="4"/>
      <c r="M69" s="4"/>
      <c r="N69" s="4"/>
    </row>
    <row r="70" spans="1:14" x14ac:dyDescent="0.2">
      <c r="A70" s="4"/>
      <c r="B70" s="4"/>
      <c r="C70" s="4"/>
      <c r="D70" s="4"/>
      <c r="E70" s="4"/>
      <c r="F70" s="4"/>
      <c r="G70" s="5"/>
      <c r="H70" s="4"/>
      <c r="I70" s="5"/>
      <c r="J70" s="4"/>
      <c r="K70" s="4"/>
      <c r="L70" s="4"/>
      <c r="M70" s="4"/>
      <c r="N70" s="4"/>
    </row>
    <row r="71" spans="1:14" x14ac:dyDescent="0.2">
      <c r="A71" s="4"/>
      <c r="B71" s="4"/>
      <c r="C71" s="4"/>
      <c r="D71" s="4"/>
      <c r="E71" s="4"/>
      <c r="F71" s="4"/>
      <c r="G71" s="5"/>
      <c r="H71" s="4"/>
      <c r="I71" s="5"/>
      <c r="J71" s="7"/>
      <c r="K71" s="4"/>
      <c r="L71" s="5"/>
      <c r="M71" s="4"/>
      <c r="N71" s="4"/>
    </row>
    <row r="72" spans="1:14" x14ac:dyDescent="0.2">
      <c r="A72" s="4"/>
      <c r="B72" s="4"/>
      <c r="C72" s="4"/>
      <c r="D72" s="4"/>
      <c r="E72" s="4"/>
      <c r="F72" s="4"/>
      <c r="G72" s="5"/>
      <c r="H72" s="4"/>
      <c r="I72" s="5"/>
      <c r="J72" s="4"/>
      <c r="K72" s="4"/>
      <c r="L72" s="4"/>
      <c r="M72" s="4"/>
      <c r="N72" s="4"/>
    </row>
    <row r="73" spans="1:14" x14ac:dyDescent="0.2">
      <c r="A73" s="4"/>
      <c r="B73" s="4"/>
      <c r="C73" s="4"/>
      <c r="D73" s="4"/>
      <c r="E73" s="4"/>
      <c r="F73" s="4"/>
      <c r="G73" s="5"/>
      <c r="H73" s="4"/>
      <c r="I73" s="5"/>
      <c r="J73" s="4"/>
      <c r="K73" s="4"/>
      <c r="L73" s="4"/>
      <c r="M73" s="4"/>
      <c r="N73" s="4"/>
    </row>
    <row r="74" spans="1:14" x14ac:dyDescent="0.2">
      <c r="A74" s="4"/>
      <c r="B74" s="4"/>
      <c r="C74" s="4"/>
      <c r="D74" s="4"/>
      <c r="E74" s="4"/>
      <c r="F74" s="4"/>
      <c r="G74" s="5"/>
      <c r="H74" s="4"/>
      <c r="I74" s="5"/>
      <c r="J74" s="7"/>
      <c r="K74" s="4"/>
      <c r="L74" s="5"/>
      <c r="M74" s="4"/>
      <c r="N74" s="4"/>
    </row>
    <row r="75" spans="1:14" x14ac:dyDescent="0.2">
      <c r="A75" s="4"/>
      <c r="B75" s="4"/>
      <c r="C75" s="4"/>
      <c r="D75" s="4"/>
      <c r="E75" s="4"/>
      <c r="F75" s="4"/>
      <c r="G75" s="5"/>
      <c r="H75" s="4"/>
      <c r="I75" s="5"/>
      <c r="J75" s="4"/>
      <c r="K75" s="4"/>
      <c r="L75" s="4"/>
      <c r="M75" s="4"/>
      <c r="N75" s="4"/>
    </row>
    <row r="76" spans="1:14" x14ac:dyDescent="0.2">
      <c r="A76" s="4"/>
      <c r="B76" s="4"/>
      <c r="C76" s="4"/>
      <c r="D76" s="4"/>
      <c r="E76" s="4"/>
      <c r="F76" s="4"/>
      <c r="G76" s="5"/>
      <c r="H76" s="4"/>
      <c r="I76" s="5"/>
      <c r="J76" s="4"/>
      <c r="K76" s="4"/>
      <c r="L76" s="4"/>
      <c r="M76" s="4"/>
      <c r="N76" s="4"/>
    </row>
    <row r="77" spans="1:14" x14ac:dyDescent="0.2">
      <c r="A77" s="4"/>
      <c r="B77" s="4"/>
      <c r="C77" s="4"/>
      <c r="D77" s="4"/>
      <c r="E77" s="4"/>
      <c r="F77" s="4"/>
      <c r="G77" s="5"/>
      <c r="H77" s="4"/>
      <c r="I77" s="5"/>
      <c r="J77" s="7"/>
      <c r="K77" s="4"/>
      <c r="L77" s="5"/>
      <c r="M77" s="4"/>
      <c r="N77" s="4"/>
    </row>
    <row r="78" spans="1:14" x14ac:dyDescent="0.2">
      <c r="A78" s="4"/>
      <c r="B78" s="4"/>
      <c r="C78" s="4"/>
      <c r="D78" s="4"/>
      <c r="E78" s="4"/>
      <c r="F78" s="4"/>
      <c r="G78" s="5"/>
      <c r="H78" s="4"/>
      <c r="I78" s="5"/>
      <c r="J78" s="4"/>
      <c r="K78" s="4"/>
      <c r="L78" s="4"/>
      <c r="M78" s="4"/>
      <c r="N78" s="4"/>
    </row>
    <row r="79" spans="1:14" x14ac:dyDescent="0.2">
      <c r="A79" s="4"/>
      <c r="B79" s="4"/>
      <c r="C79" s="4"/>
      <c r="D79" s="4"/>
      <c r="E79" s="4"/>
      <c r="F79" s="4"/>
      <c r="G79" s="5"/>
      <c r="H79" s="4"/>
      <c r="I79" s="5"/>
      <c r="J79" s="4"/>
      <c r="K79" s="4"/>
      <c r="L79" s="4"/>
      <c r="M79" s="4"/>
      <c r="N79" s="4"/>
    </row>
    <row r="80" spans="1:14" x14ac:dyDescent="0.2">
      <c r="A80" s="4"/>
      <c r="B80" s="4"/>
      <c r="C80" s="4"/>
      <c r="D80" s="4"/>
      <c r="E80" s="4"/>
      <c r="F80" s="4"/>
      <c r="G80" s="5"/>
      <c r="H80" s="4"/>
      <c r="I80" s="5"/>
      <c r="J80" s="7"/>
      <c r="K80" s="4"/>
      <c r="L80" s="5"/>
      <c r="M80" s="4"/>
      <c r="N80" s="4"/>
    </row>
    <row r="81" spans="1:14" x14ac:dyDescent="0.2">
      <c r="A81" s="4"/>
      <c r="B81" s="4"/>
      <c r="C81" s="4"/>
      <c r="D81" s="4"/>
      <c r="E81" s="4"/>
      <c r="F81" s="4"/>
      <c r="G81" s="5"/>
      <c r="H81" s="4"/>
      <c r="I81" s="5"/>
      <c r="J81" s="4"/>
      <c r="K81" s="4"/>
      <c r="L81" s="4"/>
      <c r="M81" s="4"/>
      <c r="N81" s="4"/>
    </row>
    <row r="82" spans="1:14" x14ac:dyDescent="0.2">
      <c r="A82" s="4"/>
      <c r="B82" s="4"/>
      <c r="C82" s="4"/>
      <c r="D82" s="4"/>
      <c r="E82" s="4"/>
      <c r="F82" s="4"/>
      <c r="G82" s="5"/>
      <c r="H82" s="4"/>
      <c r="I82" s="5"/>
      <c r="J82" s="4"/>
      <c r="K82" s="4"/>
      <c r="L82" s="4"/>
      <c r="M82" s="4"/>
      <c r="N82" s="4"/>
    </row>
    <row r="83" spans="1:14" x14ac:dyDescent="0.2">
      <c r="A83" s="4"/>
      <c r="B83" s="4"/>
      <c r="C83" s="4"/>
      <c r="D83" s="4"/>
      <c r="E83" s="4"/>
      <c r="F83" s="4"/>
      <c r="G83" s="5"/>
      <c r="H83" s="4"/>
      <c r="I83" s="5"/>
      <c r="J83" s="7"/>
      <c r="K83" s="4"/>
      <c r="L83" s="5"/>
      <c r="M83" s="4"/>
      <c r="N83" s="4"/>
    </row>
    <row r="84" spans="1:14" x14ac:dyDescent="0.2">
      <c r="A84" s="4"/>
      <c r="B84" s="4"/>
      <c r="C84" s="4"/>
      <c r="D84" s="4"/>
      <c r="E84" s="4"/>
      <c r="F84" s="4"/>
      <c r="G84" s="5"/>
      <c r="H84" s="4"/>
      <c r="I84" s="5"/>
      <c r="J84" s="4"/>
      <c r="K84" s="4"/>
      <c r="L84" s="4"/>
      <c r="M84" s="4"/>
      <c r="N84" s="4"/>
    </row>
    <row r="85" spans="1:14" x14ac:dyDescent="0.2">
      <c r="A85" s="4"/>
      <c r="B85" s="4"/>
      <c r="C85" s="4"/>
      <c r="D85" s="4"/>
      <c r="E85" s="4"/>
      <c r="F85" s="4"/>
      <c r="G85" s="5"/>
      <c r="H85" s="4"/>
      <c r="I85" s="5"/>
      <c r="J85" s="4"/>
      <c r="K85" s="4"/>
      <c r="L85" s="4"/>
      <c r="M85" s="4"/>
      <c r="N85" s="4"/>
    </row>
    <row r="86" spans="1:14" x14ac:dyDescent="0.2">
      <c r="A86" s="4"/>
      <c r="B86" s="4"/>
      <c r="C86" s="4"/>
      <c r="D86" s="4"/>
      <c r="E86" s="4"/>
      <c r="F86" s="4"/>
      <c r="G86" s="5"/>
      <c r="H86" s="4"/>
      <c r="I86" s="5"/>
      <c r="J86" s="7"/>
      <c r="K86" s="4"/>
      <c r="L86" s="5"/>
      <c r="M86" s="4"/>
      <c r="N86" s="4"/>
    </row>
    <row r="87" spans="1:14" x14ac:dyDescent="0.2">
      <c r="A87" s="4"/>
      <c r="B87" s="4"/>
      <c r="C87" s="4"/>
      <c r="D87" s="4"/>
      <c r="E87" s="4"/>
      <c r="F87" s="4"/>
      <c r="G87" s="5"/>
      <c r="H87" s="4"/>
      <c r="I87" s="5"/>
      <c r="J87" s="4"/>
      <c r="K87" s="4"/>
      <c r="L87" s="4"/>
      <c r="M87" s="4"/>
      <c r="N87" s="4"/>
    </row>
    <row r="88" spans="1:14" x14ac:dyDescent="0.2">
      <c r="A88" s="4"/>
      <c r="B88" s="4"/>
      <c r="C88" s="4"/>
      <c r="D88" s="4"/>
      <c r="E88" s="4"/>
      <c r="F88" s="4"/>
      <c r="G88" s="5"/>
      <c r="H88" s="4"/>
      <c r="I88" s="5"/>
      <c r="J88" s="4"/>
      <c r="K88" s="4"/>
      <c r="L88" s="4"/>
      <c r="M88" s="4"/>
      <c r="N88" s="4"/>
    </row>
    <row r="89" spans="1:14" x14ac:dyDescent="0.2">
      <c r="A89" s="4"/>
      <c r="B89" s="4"/>
      <c r="C89" s="4"/>
      <c r="D89" s="4"/>
      <c r="E89" s="4"/>
      <c r="F89" s="4"/>
      <c r="G89" s="5"/>
      <c r="H89" s="4"/>
      <c r="I89" s="5"/>
      <c r="J89" s="7"/>
      <c r="K89" s="4"/>
      <c r="L89" s="5"/>
      <c r="M89" s="4"/>
      <c r="N89" s="4"/>
    </row>
    <row r="90" spans="1:14" x14ac:dyDescent="0.2">
      <c r="A90" s="4"/>
      <c r="B90" s="4"/>
      <c r="C90" s="4"/>
      <c r="D90" s="4"/>
      <c r="E90" s="4"/>
      <c r="F90" s="4"/>
      <c r="G90" s="5"/>
      <c r="H90" s="4"/>
      <c r="I90" s="5"/>
      <c r="J90" s="4"/>
      <c r="K90" s="4"/>
      <c r="L90" s="4"/>
      <c r="M90" s="4"/>
      <c r="N90" s="4"/>
    </row>
    <row r="91" spans="1:14" x14ac:dyDescent="0.2">
      <c r="A91" s="4"/>
      <c r="B91" s="4"/>
      <c r="C91" s="4"/>
      <c r="D91" s="4"/>
      <c r="E91" s="4"/>
      <c r="F91" s="4"/>
      <c r="G91" s="5"/>
      <c r="H91" s="4"/>
      <c r="I91" s="5"/>
      <c r="J91" s="4"/>
      <c r="K91" s="4"/>
      <c r="L91" s="4"/>
      <c r="M91" s="4"/>
      <c r="N91" s="4"/>
    </row>
    <row r="92" spans="1:14" x14ac:dyDescent="0.2">
      <c r="A92" s="4"/>
      <c r="B92" s="4"/>
      <c r="C92" s="4"/>
      <c r="D92" s="4"/>
      <c r="E92" s="4"/>
      <c r="F92" s="4"/>
      <c r="G92" s="5"/>
      <c r="H92" s="4"/>
      <c r="I92" s="5"/>
      <c r="J92" s="7"/>
      <c r="K92" s="4"/>
      <c r="L92" s="5"/>
      <c r="M92" s="4"/>
      <c r="N92" s="4"/>
    </row>
    <row r="93" spans="1:14" x14ac:dyDescent="0.2">
      <c r="A93" s="4"/>
      <c r="B93" s="4"/>
      <c r="C93" s="4"/>
      <c r="D93" s="4"/>
      <c r="E93" s="4"/>
      <c r="F93" s="4"/>
      <c r="G93" s="5"/>
      <c r="H93" s="4"/>
      <c r="I93" s="5"/>
      <c r="J93" s="4"/>
      <c r="K93" s="4"/>
      <c r="L93" s="4"/>
      <c r="M93" s="4"/>
      <c r="N93" s="4"/>
    </row>
    <row r="94" spans="1:14" x14ac:dyDescent="0.2">
      <c r="A94" s="4"/>
      <c r="B94" s="4"/>
      <c r="C94" s="4"/>
      <c r="D94" s="4"/>
      <c r="E94" s="4"/>
      <c r="F94" s="4"/>
      <c r="G94" s="5"/>
      <c r="H94" s="4"/>
      <c r="I94" s="5"/>
      <c r="J94" s="4"/>
      <c r="K94" s="4"/>
      <c r="L94" s="4"/>
      <c r="M94" s="4"/>
      <c r="N94" s="4"/>
    </row>
    <row r="95" spans="1:14" x14ac:dyDescent="0.2">
      <c r="A95" s="4"/>
      <c r="B95" s="4"/>
      <c r="C95" s="4"/>
      <c r="D95" s="4"/>
      <c r="E95" s="4"/>
      <c r="F95" s="4"/>
      <c r="G95" s="5"/>
      <c r="H95" s="4"/>
      <c r="I95" s="5"/>
      <c r="J95" s="7"/>
      <c r="K95" s="4"/>
      <c r="L95" s="5"/>
      <c r="M95" s="4"/>
      <c r="N95" s="4"/>
    </row>
    <row r="96" spans="1:14" x14ac:dyDescent="0.2">
      <c r="A96" s="4"/>
      <c r="B96" s="4"/>
      <c r="C96" s="4"/>
      <c r="D96" s="4"/>
      <c r="E96" s="4"/>
      <c r="F96" s="4"/>
      <c r="G96" s="5"/>
      <c r="H96" s="4"/>
      <c r="I96" s="5"/>
      <c r="J96" s="4"/>
      <c r="K96" s="4"/>
      <c r="L96" s="4"/>
      <c r="M96" s="4"/>
      <c r="N96" s="4"/>
    </row>
    <row r="97" spans="1:14" x14ac:dyDescent="0.2">
      <c r="A97" s="4"/>
      <c r="B97" s="4"/>
      <c r="C97" s="4"/>
      <c r="D97" s="4"/>
      <c r="E97" s="4"/>
      <c r="F97" s="4"/>
      <c r="G97" s="5"/>
      <c r="H97" s="4"/>
      <c r="I97" s="5"/>
      <c r="J97" s="4"/>
      <c r="K97" s="4"/>
      <c r="L97" s="4"/>
      <c r="M97" s="4"/>
      <c r="N97" s="4"/>
    </row>
    <row r="98" spans="1:14" x14ac:dyDescent="0.2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4"/>
      <c r="N98" s="4"/>
    </row>
    <row r="99" spans="1:14" x14ac:dyDescent="0.2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4"/>
      <c r="N99" s="4"/>
    </row>
    <row r="100" spans="1:14" x14ac:dyDescent="0.2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4"/>
      <c r="N100" s="4"/>
    </row>
  </sheetData>
  <phoneticPr fontId="1" type="noConversion"/>
  <conditionalFormatting sqref="G2:G13 I2:I13 L2">
    <cfRule type="cellIs" dxfId="11" priority="12" operator="between">
      <formula>-0.1</formula>
      <formula>0.1</formula>
    </cfRule>
  </conditionalFormatting>
  <conditionalFormatting sqref="L3">
    <cfRule type="cellIs" dxfId="10" priority="11" operator="between">
      <formula>-0.1</formula>
      <formula>0.1</formula>
    </cfRule>
  </conditionalFormatting>
  <conditionalFormatting sqref="L5">
    <cfRule type="cellIs" dxfId="9" priority="10" operator="between">
      <formula>-0.1</formula>
      <formula>0.1</formula>
    </cfRule>
  </conditionalFormatting>
  <conditionalFormatting sqref="L6">
    <cfRule type="cellIs" dxfId="8" priority="9" operator="between">
      <formula>-0.1</formula>
      <formula>0.1</formula>
    </cfRule>
  </conditionalFormatting>
  <conditionalFormatting sqref="L8">
    <cfRule type="cellIs" dxfId="7" priority="8" operator="between">
      <formula>-0.1</formula>
      <formula>0.1</formula>
    </cfRule>
  </conditionalFormatting>
  <conditionalFormatting sqref="L9">
    <cfRule type="cellIs" dxfId="6" priority="7" operator="between">
      <formula>-0.1</formula>
      <formula>0.1</formula>
    </cfRule>
  </conditionalFormatting>
  <conditionalFormatting sqref="L11">
    <cfRule type="cellIs" dxfId="5" priority="6" operator="between">
      <formula>-0.1</formula>
      <formula>0.1</formula>
    </cfRule>
  </conditionalFormatting>
  <conditionalFormatting sqref="L12">
    <cfRule type="cellIs" dxfId="4" priority="5" operator="between">
      <formula>-0.1</formula>
      <formula>0.1</formula>
    </cfRule>
  </conditionalFormatting>
  <conditionalFormatting sqref="L13">
    <cfRule type="cellIs" dxfId="3" priority="4" operator="between">
      <formula>-0.1</formula>
      <formula>0.1</formula>
    </cfRule>
  </conditionalFormatting>
  <conditionalFormatting sqref="L10">
    <cfRule type="cellIs" dxfId="2" priority="3" operator="between">
      <formula>-0.1</formula>
      <formula>0.1</formula>
    </cfRule>
  </conditionalFormatting>
  <conditionalFormatting sqref="L7">
    <cfRule type="cellIs" dxfId="1" priority="2" operator="between">
      <formula>-0.1</formula>
      <formula>0.1</formula>
    </cfRule>
  </conditionalFormatting>
  <conditionalFormatting sqref="L4">
    <cfRule type="cellIs" dxfId="0" priority="1" operator="between">
      <formula>-0.1</formula>
      <formula>0.1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84E7-D11F-4ECB-8413-EDA77BD22522}">
  <dimension ref="A1:AJ99"/>
  <sheetViews>
    <sheetView topLeftCell="I1" zoomScale="160" zoomScaleNormal="160" workbookViewId="0">
      <selection activeCell="W29" sqref="W29"/>
    </sheetView>
  </sheetViews>
  <sheetFormatPr defaultRowHeight="14.25" x14ac:dyDescent="0.2"/>
  <cols>
    <col min="1" max="1" width="21" bestFit="1" customWidth="1"/>
    <col min="5" max="5" width="21" bestFit="1" customWidth="1"/>
    <col min="7" max="7" width="21" bestFit="1" customWidth="1"/>
    <col min="8" max="8" width="16.5" bestFit="1" customWidth="1"/>
    <col min="9" max="9" width="16" customWidth="1"/>
    <col min="10" max="10" width="16.125" customWidth="1"/>
    <col min="20" max="20" width="11.625" bestFit="1" customWidth="1"/>
  </cols>
  <sheetData>
    <row r="1" spans="1:36" x14ac:dyDescent="0.2">
      <c r="A1" t="s">
        <v>39</v>
      </c>
      <c r="H1" s="8"/>
    </row>
    <row r="2" spans="1:36" x14ac:dyDescent="0.2">
      <c r="A2" t="s">
        <v>40</v>
      </c>
      <c r="H2" s="8"/>
    </row>
    <row r="3" spans="1:36" ht="15" thickBot="1" x14ac:dyDescent="0.25">
      <c r="A3" t="s">
        <v>41</v>
      </c>
      <c r="H3" s="8"/>
    </row>
    <row r="4" spans="1:36" ht="16.5" thickBot="1" x14ac:dyDescent="0.3">
      <c r="A4" t="s">
        <v>42</v>
      </c>
      <c r="E4" s="10"/>
      <c r="F4" s="10"/>
      <c r="G4" s="10" t="s">
        <v>80</v>
      </c>
      <c r="H4" s="12" t="s">
        <v>81</v>
      </c>
      <c r="I4" s="11" t="s">
        <v>82</v>
      </c>
      <c r="J4" s="11" t="s">
        <v>83</v>
      </c>
      <c r="K4" s="9"/>
      <c r="L4">
        <v>0.62590000000000001</v>
      </c>
    </row>
    <row r="5" spans="1:36" ht="15" x14ac:dyDescent="0.25">
      <c r="A5" t="s">
        <v>43</v>
      </c>
      <c r="E5" s="27" t="s">
        <v>79</v>
      </c>
      <c r="F5" s="26" t="s">
        <v>71</v>
      </c>
      <c r="G5" s="10" t="s">
        <v>70</v>
      </c>
      <c r="H5" s="13">
        <f ca="1">OFFSET(TB!$E$2,(ROW(TB!E2)-2)*3,0)</f>
        <v>0.46820000000000001</v>
      </c>
      <c r="I5" s="13">
        <f ca="1">OFFSET(TB!$E$3,(ROW(TB!F2)-2)*3,0)</f>
        <v>0.6099</v>
      </c>
      <c r="J5" s="13">
        <f ca="1">OFFSET(TB!$E$4,(ROW(TB!G2)-2)*3,0)</f>
        <v>0.69650000000000001</v>
      </c>
      <c r="K5" s="9"/>
      <c r="L5">
        <v>0.68610000000000004</v>
      </c>
    </row>
    <row r="6" spans="1:36" ht="15" x14ac:dyDescent="0.25">
      <c r="A6" t="s">
        <v>44</v>
      </c>
      <c r="E6" s="27"/>
      <c r="F6" s="26"/>
      <c r="G6" s="10" t="s">
        <v>55</v>
      </c>
      <c r="H6" s="13">
        <f ca="1">OFFSET(TB!$E$2,(ROW(TB!E3)-2)*3,0)</f>
        <v>0.4677</v>
      </c>
      <c r="I6" s="13">
        <f ca="1">OFFSET(TB!$E$3,(ROW(TB!F3)-2)*3,0)</f>
        <v>0.60950000000000004</v>
      </c>
      <c r="J6" s="13">
        <f ca="1">OFFSET(TB!$E$4,(ROW(TB!G3)-2)*3,0)</f>
        <v>0.69620000000000004</v>
      </c>
      <c r="K6" s="9"/>
      <c r="L6">
        <v>0.90480000000000005</v>
      </c>
    </row>
    <row r="7" spans="1:36" ht="15" x14ac:dyDescent="0.25">
      <c r="A7" t="s">
        <v>45</v>
      </c>
      <c r="E7" s="27"/>
      <c r="F7" s="26" t="s">
        <v>72</v>
      </c>
      <c r="G7" s="10" t="s">
        <v>66</v>
      </c>
      <c r="H7" s="13">
        <f ca="1">OFFSET(TB!$E$2,(ROW(TB!E4)-2)*3,0)</f>
        <v>0.36909999999999998</v>
      </c>
      <c r="I7" s="13">
        <f ca="1">OFFSET(TB!$E$3,(ROW(TB!F4)-2)*3,0)</f>
        <v>0.44569999999999999</v>
      </c>
      <c r="J7" s="13">
        <f ca="1">OFFSET(TB!$E$4,(ROW(TB!G4)-2)*3,0)</f>
        <v>0.48480000000000001</v>
      </c>
      <c r="K7" s="9"/>
      <c r="L7">
        <v>0.62670000000000003</v>
      </c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6" ht="15" x14ac:dyDescent="0.25">
      <c r="A8" t="s">
        <v>46</v>
      </c>
      <c r="E8" s="27"/>
      <c r="F8" s="26"/>
      <c r="G8" s="10" t="s">
        <v>67</v>
      </c>
      <c r="H8" s="13">
        <f ca="1">OFFSET(TB!$E$2,(ROW(TB!E5)-2)*3,0)</f>
        <v>0.37040000000000001</v>
      </c>
      <c r="I8" s="13">
        <f ca="1">OFFSET(TB!$E$3,(ROW(TB!F5)-2)*3,0)</f>
        <v>0.4496</v>
      </c>
      <c r="J8" s="13">
        <f ca="1">OFFSET(TB!$E$4,(ROW(TB!G5)-2)*3,0)</f>
        <v>0.48499999999999999</v>
      </c>
      <c r="K8" s="9"/>
      <c r="L8">
        <v>0.69650000000000001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5" x14ac:dyDescent="0.25">
      <c r="A9" t="s">
        <v>47</v>
      </c>
      <c r="E9" s="27" t="s">
        <v>78</v>
      </c>
      <c r="F9" s="26" t="s">
        <v>71</v>
      </c>
      <c r="G9" s="10" t="s">
        <v>56</v>
      </c>
      <c r="H9" s="13">
        <f ca="1">OFFSET(TB!$E$2,(ROW(TB!E6)-2)*3,0)</f>
        <v>0.42559999999999998</v>
      </c>
      <c r="I9" s="13">
        <f ca="1">OFFSET(TB!$E$3,(ROW(TB!F6)-2)*3,0)</f>
        <v>0.56279999999999997</v>
      </c>
      <c r="J9" s="13">
        <f ca="1">OFFSET(TB!$E$4,(ROW(TB!G6)-2)*3,0)</f>
        <v>0.59899999999999998</v>
      </c>
      <c r="K9" s="9"/>
      <c r="L9">
        <v>0.90459999999999996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spans="1:36" ht="15" x14ac:dyDescent="0.25">
      <c r="A10" t="s">
        <v>48</v>
      </c>
      <c r="E10" s="27"/>
      <c r="F10" s="26"/>
      <c r="G10" s="10" t="s">
        <v>57</v>
      </c>
      <c r="H10" s="13">
        <f ca="1">OFFSET(TB!$E$2,(ROW(TB!E7)-2)*3,0)</f>
        <v>0.4224</v>
      </c>
      <c r="I10" s="13">
        <f ca="1">OFFSET(TB!$E$3,(ROW(TB!F7)-2)*3,0)</f>
        <v>0.52939999999999998</v>
      </c>
      <c r="J10" s="13">
        <f ca="1">OFFSET(TB!$E$4,(ROW(TB!G7)-2)*3,0)</f>
        <v>0.57120000000000004</v>
      </c>
      <c r="K10" s="9"/>
      <c r="L10">
        <v>0.39340000000000003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5" x14ac:dyDescent="0.25">
      <c r="A11" t="s">
        <v>49</v>
      </c>
      <c r="E11" s="27"/>
      <c r="F11" s="26" t="s">
        <v>72</v>
      </c>
      <c r="G11" s="10" t="s">
        <v>68</v>
      </c>
      <c r="H11" s="13">
        <f ca="1">OFFSET(TB!$E$2,(ROW(TB!E8)-2)*3,0)</f>
        <v>0.35170000000000001</v>
      </c>
      <c r="I11" s="13">
        <f ca="1">OFFSET(TB!$E$3,(ROW(TB!F8)-2)*3,0)</f>
        <v>0.40260000000000001</v>
      </c>
      <c r="J11" s="13">
        <f ca="1">OFFSET(TB!$E$4,(ROW(TB!G8)-2)*3,0)</f>
        <v>0.45169999999999999</v>
      </c>
      <c r="K11" s="9"/>
      <c r="L11">
        <v>0.45739999999999997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spans="1:36" ht="15" x14ac:dyDescent="0.25">
      <c r="A12" t="s">
        <v>50</v>
      </c>
      <c r="E12" s="27"/>
      <c r="F12" s="26"/>
      <c r="G12" s="10" t="s">
        <v>69</v>
      </c>
      <c r="H12" s="13">
        <f ca="1">OFFSET(TB!$E$2,(ROW(TB!E9)-2)*3,0)</f>
        <v>0.35199999999999998</v>
      </c>
      <c r="I12" s="13">
        <f ca="1">OFFSET(TB!$E$3,(ROW(TB!F9)-2)*3,0)</f>
        <v>0.40720000000000001</v>
      </c>
      <c r="J12" s="13">
        <f ca="1">OFFSET(TB!$E$4,(ROW(TB!G9)-2)*3,0)</f>
        <v>0.45400000000000001</v>
      </c>
      <c r="K12" s="9"/>
      <c r="L12">
        <v>0.73919999999999997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5" x14ac:dyDescent="0.25">
      <c r="A13" t="s">
        <v>51</v>
      </c>
      <c r="E13" s="27" t="s">
        <v>77</v>
      </c>
      <c r="F13" s="26" t="s">
        <v>73</v>
      </c>
      <c r="G13" s="10" t="s">
        <v>43</v>
      </c>
      <c r="H13" s="13">
        <f ca="1">OFFSET(TB!$E$2,(ROW(TB!E10)-2)*3,0)</f>
        <v>0.33400000000000002</v>
      </c>
      <c r="I13" s="13">
        <f ca="1">OFFSET(TB!$E$3,(ROW(TB!F10)-2)*3,0)</f>
        <v>0.38150000000000001</v>
      </c>
      <c r="J13" s="13">
        <f ca="1">OFFSET(TB!$E$4,(ROW(TB!G10)-2)*3,0)</f>
        <v>0.43</v>
      </c>
      <c r="K13" s="9"/>
      <c r="L13">
        <v>0.377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spans="1:36" ht="15" x14ac:dyDescent="0.25">
      <c r="A14" t="s">
        <v>52</v>
      </c>
      <c r="E14" s="27"/>
      <c r="F14" s="26"/>
      <c r="G14" s="10" t="s">
        <v>44</v>
      </c>
      <c r="H14" s="13">
        <f ca="1">OFFSET(TB!$E$2,(ROW(TB!E11)-2)*3,0)</f>
        <v>0.33339999999999997</v>
      </c>
      <c r="I14" s="13">
        <f ca="1">OFFSET(TB!$E$3,(ROW(TB!F11)-2)*3,0)</f>
        <v>0.38329999999999997</v>
      </c>
      <c r="J14" s="13">
        <f ca="1">OFFSET(TB!$E$4,(ROW(TB!G11)-2)*3,0)</f>
        <v>0.42970000000000003</v>
      </c>
      <c r="K14" s="9"/>
      <c r="L14">
        <v>0.46100000000000002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5" x14ac:dyDescent="0.25">
      <c r="A15" t="s">
        <v>53</v>
      </c>
      <c r="E15" s="27"/>
      <c r="F15" s="26"/>
      <c r="G15" s="10" t="s">
        <v>45</v>
      </c>
      <c r="H15" s="13">
        <f ca="1">OFFSET(TB!$E$2,(ROW(TB!E12)-2)*3,0)</f>
        <v>0.33700000000000002</v>
      </c>
      <c r="I15" s="13">
        <f ca="1">OFFSET(TB!$E$3,(ROW(TB!F12)-2)*3,0)</f>
        <v>0.38719999999999999</v>
      </c>
      <c r="J15" s="13">
        <f ca="1">OFFSET(TB!$E$4,(ROW(TB!G12)-2)*3,0)</f>
        <v>0.432</v>
      </c>
      <c r="K15" s="9"/>
      <c r="L15">
        <v>0.74380000000000002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spans="1:36" ht="15" x14ac:dyDescent="0.25">
      <c r="A16" t="s">
        <v>54</v>
      </c>
      <c r="E16" s="27"/>
      <c r="F16" s="26"/>
      <c r="G16" s="10" t="s">
        <v>46</v>
      </c>
      <c r="H16" s="13">
        <f ca="1">OFFSET(TB!$E$2,(ROW(TB!E13)-2)*3,0)</f>
        <v>0.33610000000000001</v>
      </c>
      <c r="I16" s="13">
        <f ca="1">OFFSET(TB!$E$3,(ROW(TB!F13)-2)*3,0)</f>
        <v>0.38679999999999998</v>
      </c>
      <c r="J16" s="13">
        <f ca="1">OFFSET(TB!$E$4,(ROW(TB!G13)-2)*3,0)</f>
        <v>0.42659999999999998</v>
      </c>
      <c r="K16" s="9"/>
      <c r="L16">
        <v>0.42559999999999998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 ht="15" x14ac:dyDescent="0.25">
      <c r="A17" t="s">
        <v>55</v>
      </c>
      <c r="E17" s="27"/>
      <c r="F17" s="26" t="s">
        <v>74</v>
      </c>
      <c r="G17" s="10" t="s">
        <v>51</v>
      </c>
      <c r="H17" s="13">
        <f ca="1">OFFSET(TB!$E$2,(ROW(TB!E14)-2)*3,0)</f>
        <v>0.29530000000000001</v>
      </c>
      <c r="I17" s="13">
        <f ca="1">OFFSET(TB!$E$3,(ROW(TB!F14)-2)*3,0)</f>
        <v>0.32679999999999998</v>
      </c>
      <c r="J17" s="13">
        <f ca="1">OFFSET(TB!$E$4,(ROW(TB!G14)-2)*3,0)</f>
        <v>0.36209999999999998</v>
      </c>
      <c r="K17" s="9"/>
      <c r="L17">
        <v>0.46050000000000002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 ht="15" x14ac:dyDescent="0.25">
      <c r="A18" t="s">
        <v>56</v>
      </c>
      <c r="E18" s="27"/>
      <c r="F18" s="26"/>
      <c r="G18" s="10" t="s">
        <v>52</v>
      </c>
      <c r="H18" s="13">
        <f ca="1">OFFSET(TB!$E$2,(ROW(TB!E15)-2)*3,0)</f>
        <v>0.29680000000000001</v>
      </c>
      <c r="I18" s="13">
        <f ca="1">OFFSET(TB!$E$3,(ROW(TB!F15)-2)*3,0)</f>
        <v>0.32800000000000001</v>
      </c>
      <c r="J18" s="13">
        <f ca="1">OFFSET(TB!$E$4,(ROW(TB!G15)-2)*3,0)</f>
        <v>0.36209999999999998</v>
      </c>
      <c r="K18" s="9"/>
      <c r="L18">
        <v>0.56879999999999997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 ht="15" x14ac:dyDescent="0.25">
      <c r="A19" t="s">
        <v>57</v>
      </c>
      <c r="E19" s="27"/>
      <c r="F19" s="26"/>
      <c r="G19" s="10" t="s">
        <v>53</v>
      </c>
      <c r="H19" s="13">
        <f ca="1">OFFSET(TB!$E$2,(ROW(TB!E16)-2)*3,0)</f>
        <v>0.3009</v>
      </c>
      <c r="I19" s="13">
        <f ca="1">OFFSET(TB!$E$3,(ROW(TB!F16)-2)*3,0)</f>
        <v>0.31919999999999998</v>
      </c>
      <c r="J19" s="13">
        <f ca="1">OFFSET(TB!$E$4,(ROW(TB!G16)-2)*3,0)</f>
        <v>0.374</v>
      </c>
      <c r="K19" s="9"/>
      <c r="L19">
        <v>0.4224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spans="1:36" ht="15" x14ac:dyDescent="0.25">
      <c r="A20" t="s">
        <v>58</v>
      </c>
      <c r="E20" s="27"/>
      <c r="F20" s="26"/>
      <c r="G20" s="10" t="s">
        <v>54</v>
      </c>
      <c r="H20" s="13">
        <f ca="1">OFFSET(TB!$E$2,(ROW(TB!E17)-2)*3,0)</f>
        <v>0.2989</v>
      </c>
      <c r="I20" s="13">
        <f ca="1">OFFSET(TB!$E$3,(ROW(TB!F17)-2)*3,0)</f>
        <v>0.33029999999999998</v>
      </c>
      <c r="J20" s="13">
        <f ca="1">OFFSET(TB!$E$4,(ROW(TB!G17)-2)*3,0)</f>
        <v>0.35930000000000001</v>
      </c>
      <c r="K20" s="9"/>
      <c r="L20">
        <v>0.46160000000000001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 ht="15" x14ac:dyDescent="0.25">
      <c r="A21" t="s">
        <v>59</v>
      </c>
      <c r="E21" s="27"/>
      <c r="F21" s="26" t="s">
        <v>75</v>
      </c>
      <c r="G21" s="10" t="s">
        <v>62</v>
      </c>
      <c r="H21" s="13">
        <f ca="1">OFFSET(TB!$E$2,(ROW(TB!E18)-2)*3,0)</f>
        <v>0.29930000000000001</v>
      </c>
      <c r="I21" s="13">
        <f ca="1">OFFSET(TB!$E$3,(ROW(TB!F18)-2)*3,0)</f>
        <v>0.32629999999999998</v>
      </c>
      <c r="J21" s="13">
        <f ca="1">OFFSET(TB!$E$4,(ROW(TB!G18)-2)*3,0)</f>
        <v>0.36070000000000002</v>
      </c>
      <c r="K21" s="9"/>
      <c r="L21">
        <v>0.52939999999999998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spans="1:36" ht="15" x14ac:dyDescent="0.25">
      <c r="A22" t="s">
        <v>60</v>
      </c>
      <c r="E22" s="27"/>
      <c r="F22" s="26"/>
      <c r="G22" s="10" t="s">
        <v>63</v>
      </c>
      <c r="H22" s="13">
        <f ca="1">OFFSET(TB!$E$2,(ROW(TB!E19)-2)*3,0)</f>
        <v>0.29630000000000001</v>
      </c>
      <c r="I22" s="13">
        <f ca="1">OFFSET(TB!$E$3,(ROW(TB!F19)-2)*3,0)</f>
        <v>0.32719999999999999</v>
      </c>
      <c r="J22" s="13">
        <f ca="1">OFFSET(TB!$E$4,(ROW(TB!G19)-2)*3,0)</f>
        <v>0.37359999999999999</v>
      </c>
      <c r="K22" s="9"/>
      <c r="L22">
        <v>0.35170000000000001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 ht="15" x14ac:dyDescent="0.25">
      <c r="A23" t="s">
        <v>61</v>
      </c>
      <c r="E23" s="27"/>
      <c r="F23" s="26"/>
      <c r="G23" s="10" t="s">
        <v>64</v>
      </c>
      <c r="H23" s="13">
        <f ca="1">OFFSET(TB!$E$2,(ROW(TB!E20)-2)*3,0)</f>
        <v>0.29809999999999998</v>
      </c>
      <c r="I23" s="13">
        <f ca="1">OFFSET(TB!$E$3,(ROW(TB!F20)-2)*3,0)</f>
        <v>0.33560000000000001</v>
      </c>
      <c r="J23" s="13">
        <f ca="1">OFFSET(TB!$E$4,(ROW(TB!G20)-2)*3,0)</f>
        <v>0.36730000000000002</v>
      </c>
      <c r="K23" s="9"/>
      <c r="L23">
        <v>0.37709999999999999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spans="1:36" ht="15" x14ac:dyDescent="0.25">
      <c r="A24" t="s">
        <v>62</v>
      </c>
      <c r="E24" s="27"/>
      <c r="F24" s="26"/>
      <c r="G24" s="10" t="s">
        <v>65</v>
      </c>
      <c r="H24" s="13">
        <f ca="1">OFFSET(TB!$E$2,(ROW(TB!E21)-2)*3,0)</f>
        <v>0.29720000000000002</v>
      </c>
      <c r="I24" s="13">
        <f ca="1">OFFSET(TB!$E$3,(ROW(TB!F21)-2)*3,0)</f>
        <v>0.33050000000000002</v>
      </c>
      <c r="J24" s="13">
        <f ca="1">OFFSET(TB!$E$4,(ROW(TB!G21)-2)*3,0)</f>
        <v>0.37140000000000001</v>
      </c>
      <c r="K24" s="9"/>
      <c r="L24">
        <v>0.43140000000000001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 ht="15" x14ac:dyDescent="0.25">
      <c r="A25" t="s">
        <v>63</v>
      </c>
      <c r="E25" s="27" t="s">
        <v>76</v>
      </c>
      <c r="F25" s="26" t="s">
        <v>73</v>
      </c>
      <c r="G25" s="10" t="s">
        <v>39</v>
      </c>
      <c r="H25" s="13">
        <f ca="1">OFFSET(TB!$E$2,(ROW(TB!E22)-2)*3,0)</f>
        <v>0.31979999999999997</v>
      </c>
      <c r="I25" s="13">
        <f ca="1">OFFSET(TB!$E$3,(ROW(TB!F22)-2)*3,0)</f>
        <v>0.36520000000000002</v>
      </c>
      <c r="J25" s="13">
        <f ca="1">OFFSET(TB!$E$4,(ROW(TB!G22)-2)*3,0)</f>
        <v>0.40239999999999998</v>
      </c>
      <c r="K25" s="9"/>
      <c r="L25">
        <v>0.35199999999999998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spans="1:36" ht="15" x14ac:dyDescent="0.25">
      <c r="A26" t="s">
        <v>64</v>
      </c>
      <c r="E26" s="27"/>
      <c r="F26" s="26"/>
      <c r="G26" s="10" t="s">
        <v>40</v>
      </c>
      <c r="H26" s="13">
        <f ca="1">OFFSET(TB!$E$2,(ROW(TB!E23)-2)*3,0)</f>
        <v>0.32029999999999997</v>
      </c>
      <c r="I26" s="13">
        <f ca="1">OFFSET(TB!$E$3,(ROW(TB!F23)-2)*3,0)</f>
        <v>0.3594</v>
      </c>
      <c r="J26" s="13">
        <f ca="1">OFFSET(TB!$E$4,(ROW(TB!G23)-2)*3,0)</f>
        <v>0.40870000000000001</v>
      </c>
      <c r="K26" s="9"/>
      <c r="L26">
        <v>0.37919999999999998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 ht="15" x14ac:dyDescent="0.25">
      <c r="A27" t="s">
        <v>65</v>
      </c>
      <c r="E27" s="27"/>
      <c r="F27" s="26"/>
      <c r="G27" s="10" t="s">
        <v>41</v>
      </c>
      <c r="H27" s="13">
        <f ca="1">OFFSET(TB!$E$2,(ROW(TB!E24)-2)*3,0)</f>
        <v>0.32129999999999997</v>
      </c>
      <c r="I27" s="13">
        <f ca="1">OFFSET(TB!$E$3,(ROW(TB!F24)-2)*3,0)</f>
        <v>0.37109999999999999</v>
      </c>
      <c r="J27" s="13">
        <f ca="1">OFFSET(TB!$E$4,(ROW(TB!G24)-2)*3,0)</f>
        <v>0.40989999999999999</v>
      </c>
      <c r="K27" s="9"/>
      <c r="L27">
        <v>0.42880000000000001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 ht="15" x14ac:dyDescent="0.25">
      <c r="A28" t="s">
        <v>66</v>
      </c>
      <c r="E28" s="27"/>
      <c r="F28" s="26"/>
      <c r="G28" s="10" t="s">
        <v>42</v>
      </c>
      <c r="H28" s="13">
        <f ca="1">OFFSET(TB!$E$2,(ROW(TB!E25)-2)*3,0)</f>
        <v>0.3216</v>
      </c>
      <c r="I28" s="13">
        <f ca="1">OFFSET(TB!$E$3,(ROW(TB!F25)-2)*3,0)</f>
        <v>0.36249999999999999</v>
      </c>
      <c r="J28" s="13">
        <f ca="1">OFFSET(TB!$E$4,(ROW(TB!G25)-2)*3,0)</f>
        <v>0.41760000000000003</v>
      </c>
      <c r="K28" s="9"/>
      <c r="L28">
        <v>0.33400000000000002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 ht="15" x14ac:dyDescent="0.25">
      <c r="A29" t="s">
        <v>67</v>
      </c>
      <c r="E29" s="27"/>
      <c r="F29" s="26" t="s">
        <v>74</v>
      </c>
      <c r="G29" s="10" t="s">
        <v>47</v>
      </c>
      <c r="H29" s="13">
        <f ca="1">OFFSET(TB!$E$2,(ROW(TB!E26)-2)*3,0)</f>
        <v>0.28699999999999998</v>
      </c>
      <c r="I29" s="13">
        <f ca="1">OFFSET(TB!$E$3,(ROW(TB!F26)-2)*3,0)</f>
        <v>0.31590000000000001</v>
      </c>
      <c r="J29" s="13">
        <f ca="1">OFFSET(TB!$E$4,(ROW(TB!G26)-2)*3,0)</f>
        <v>0.35539999999999999</v>
      </c>
      <c r="K29" s="9"/>
      <c r="L29">
        <v>0.3528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spans="1:36" ht="15" x14ac:dyDescent="0.25">
      <c r="A30" t="s">
        <v>68</v>
      </c>
      <c r="E30" s="27"/>
      <c r="F30" s="26"/>
      <c r="G30" s="10" t="s">
        <v>48</v>
      </c>
      <c r="H30" s="13">
        <f ca="1">OFFSET(TB!$E$2,(ROW(TB!E27)-2)*3,0)</f>
        <v>0.28689999999999999</v>
      </c>
      <c r="I30" s="13">
        <f ca="1">OFFSET(TB!$E$3,(ROW(TB!F27)-2)*3,0)</f>
        <v>0.3105</v>
      </c>
      <c r="J30" s="13">
        <f ca="1">OFFSET(TB!$E$4,(ROW(TB!G27)-2)*3,0)</f>
        <v>0.35589999999999999</v>
      </c>
      <c r="K30" s="9"/>
      <c r="L30">
        <v>0.40310000000000001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spans="1:36" ht="15" x14ac:dyDescent="0.25">
      <c r="A31" t="s">
        <v>69</v>
      </c>
      <c r="E31" s="27"/>
      <c r="F31" s="26"/>
      <c r="G31" s="10" t="s">
        <v>49</v>
      </c>
      <c r="H31" s="13">
        <f ca="1">OFFSET(TB!$E$2,(ROW(TB!E28)-2)*3,0)</f>
        <v>0.28760000000000002</v>
      </c>
      <c r="I31" s="13">
        <f ca="1">OFFSET(TB!$E$3,(ROW(TB!F28)-2)*3,0)</f>
        <v>0.31730000000000003</v>
      </c>
      <c r="J31" s="13">
        <f ca="1">OFFSET(TB!$E$4,(ROW(TB!G28)-2)*3,0)</f>
        <v>0.35649999999999998</v>
      </c>
      <c r="K31" s="9"/>
      <c r="L31">
        <v>0.33339999999999997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spans="1:36" ht="15" x14ac:dyDescent="0.25">
      <c r="E32" s="27"/>
      <c r="F32" s="26"/>
      <c r="G32" s="10" t="s">
        <v>50</v>
      </c>
      <c r="H32" s="13">
        <f ca="1">OFFSET(TB!$E$2,(ROW(TB!E29)-2)*3,0)</f>
        <v>0.28699999999999998</v>
      </c>
      <c r="I32" s="13">
        <f ca="1">OFFSET(TB!$E$3,(ROW(TB!F29)-2)*3,0)</f>
        <v>0.31890000000000002</v>
      </c>
      <c r="J32" s="13">
        <f ca="1">OFFSET(TB!$E$4,(ROW(TB!G29)-2)*3,0)</f>
        <v>0.35649999999999998</v>
      </c>
      <c r="K32" s="9"/>
      <c r="L32">
        <v>0.35020000000000001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spans="5:36" ht="15" x14ac:dyDescent="0.25">
      <c r="E33" s="27"/>
      <c r="F33" s="26" t="s">
        <v>75</v>
      </c>
      <c r="G33" s="10" t="s">
        <v>58</v>
      </c>
      <c r="H33" s="13">
        <f ca="1">OFFSET(TB!$E$2,(ROW(TB!E30)-2)*3,0)</f>
        <v>0.28789999999999999</v>
      </c>
      <c r="I33" s="13">
        <f ca="1">OFFSET(TB!$E$3,(ROW(TB!F30)-2)*3,0)</f>
        <v>0.31680000000000003</v>
      </c>
      <c r="J33" s="13">
        <f ca="1">OFFSET(TB!$E$4,(ROW(TB!G30)-2)*3,0)</f>
        <v>0.35580000000000001</v>
      </c>
      <c r="K33" s="9"/>
      <c r="L33">
        <v>0.41020000000000001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spans="5:36" ht="15" x14ac:dyDescent="0.25">
      <c r="E34" s="27"/>
      <c r="F34" s="26"/>
      <c r="G34" s="10" t="s">
        <v>59</v>
      </c>
      <c r="H34" s="13">
        <f ca="1">OFFSET(TB!$E$2,(ROW(TB!E31)-2)*3,0)</f>
        <v>0.2868</v>
      </c>
      <c r="I34" s="13">
        <f ca="1">OFFSET(TB!$E$3,(ROW(TB!F31)-2)*3,0)</f>
        <v>0.31469999999999998</v>
      </c>
      <c r="J34" s="13">
        <f ca="1">OFFSET(TB!$E$4,(ROW(TB!G31)-2)*3,0)</f>
        <v>0.35339999999999999</v>
      </c>
      <c r="K34" s="9"/>
      <c r="L34">
        <v>0.33700000000000002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spans="5:36" ht="15" x14ac:dyDescent="0.25">
      <c r="E35" s="27"/>
      <c r="F35" s="26"/>
      <c r="G35" s="10" t="s">
        <v>60</v>
      </c>
      <c r="H35" s="13">
        <f ca="1">OFFSET(TB!$E$2,(ROW(TB!E32)-2)*3,0)</f>
        <v>0.2873</v>
      </c>
      <c r="I35" s="13">
        <f ca="1">OFFSET(TB!$E$3,(ROW(TB!F32)-2)*3,0)</f>
        <v>0.31680000000000003</v>
      </c>
      <c r="J35" s="13">
        <f ca="1">OFFSET(TB!$E$4,(ROW(TB!G32)-2)*3,0)</f>
        <v>0.35349999999999998</v>
      </c>
      <c r="K35" s="9"/>
      <c r="L35">
        <v>0.34789999999999999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spans="5:36" ht="15" x14ac:dyDescent="0.25">
      <c r="E36" s="27"/>
      <c r="F36" s="26"/>
      <c r="G36" s="10" t="s">
        <v>61</v>
      </c>
      <c r="H36" s="13">
        <f ca="1">OFFSET(TB!$E$2,(ROW(TB!E33)-2)*3,0)</f>
        <v>0.28739999999999999</v>
      </c>
      <c r="I36" s="13">
        <f ca="1">OFFSET(TB!$E$3,(ROW(TB!F33)-2)*3,0)</f>
        <v>0.31330000000000002</v>
      </c>
      <c r="J36" s="13">
        <f ca="1">OFFSET(TB!$E$4,(ROW(TB!G33)-2)*3,0)</f>
        <v>0.35260000000000002</v>
      </c>
      <c r="K36" s="9"/>
      <c r="L36">
        <v>0.40300000000000002</v>
      </c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spans="5:36" x14ac:dyDescent="0.2">
      <c r="L37">
        <v>0.34739999999999999</v>
      </c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5:36" x14ac:dyDescent="0.2">
      <c r="L38">
        <v>0.33610000000000001</v>
      </c>
    </row>
    <row r="39" spans="5:36" x14ac:dyDescent="0.2">
      <c r="L39">
        <v>0.40450000000000003</v>
      </c>
    </row>
    <row r="40" spans="5:36" x14ac:dyDescent="0.2">
      <c r="L40">
        <v>0.29530000000000001</v>
      </c>
    </row>
    <row r="41" spans="5:36" x14ac:dyDescent="0.2">
      <c r="L41">
        <v>0.32029999999999997</v>
      </c>
    </row>
    <row r="42" spans="5:36" x14ac:dyDescent="0.2">
      <c r="L42">
        <v>0.69979999999999998</v>
      </c>
    </row>
    <row r="43" spans="5:36" x14ac:dyDescent="0.2">
      <c r="L43">
        <v>0.29680000000000001</v>
      </c>
    </row>
    <row r="44" spans="5:36" x14ac:dyDescent="0.2">
      <c r="L44">
        <v>0.32379999999999998</v>
      </c>
    </row>
    <row r="45" spans="5:36" x14ac:dyDescent="0.2">
      <c r="L45">
        <v>0.36599999999999999</v>
      </c>
    </row>
    <row r="46" spans="5:36" x14ac:dyDescent="0.2">
      <c r="L46">
        <v>0.29120000000000001</v>
      </c>
    </row>
    <row r="47" spans="5:36" x14ac:dyDescent="0.2">
      <c r="L47">
        <v>0.31709999999999999</v>
      </c>
    </row>
    <row r="48" spans="5:36" x14ac:dyDescent="0.2">
      <c r="L48">
        <v>0.34849999999999998</v>
      </c>
    </row>
    <row r="49" spans="12:12" x14ac:dyDescent="0.2">
      <c r="L49">
        <v>0.2989</v>
      </c>
    </row>
    <row r="50" spans="12:12" x14ac:dyDescent="0.2">
      <c r="L50">
        <v>0.33029999999999998</v>
      </c>
    </row>
    <row r="51" spans="12:12" x14ac:dyDescent="0.2">
      <c r="L51">
        <v>0.35930000000000001</v>
      </c>
    </row>
    <row r="52" spans="12:12" x14ac:dyDescent="0.2">
      <c r="L52">
        <v>0.29930000000000001</v>
      </c>
    </row>
    <row r="53" spans="12:12" x14ac:dyDescent="0.2">
      <c r="L53">
        <v>0.32629999999999998</v>
      </c>
    </row>
    <row r="54" spans="12:12" x14ac:dyDescent="0.2">
      <c r="L54">
        <v>0.35099999999999998</v>
      </c>
    </row>
    <row r="55" spans="12:12" x14ac:dyDescent="0.2">
      <c r="L55">
        <v>0.28810000000000002</v>
      </c>
    </row>
    <row r="56" spans="12:12" x14ac:dyDescent="0.2">
      <c r="L56">
        <v>0.31409999999999999</v>
      </c>
    </row>
    <row r="57" spans="12:12" x14ac:dyDescent="0.2">
      <c r="L57">
        <v>0.34520000000000001</v>
      </c>
    </row>
    <row r="58" spans="12:12" x14ac:dyDescent="0.2">
      <c r="L58">
        <v>0.29809999999999998</v>
      </c>
    </row>
    <row r="59" spans="12:12" x14ac:dyDescent="0.2">
      <c r="L59">
        <v>0.33560000000000001</v>
      </c>
    </row>
    <row r="60" spans="12:12" x14ac:dyDescent="0.2">
      <c r="L60">
        <v>0.3609</v>
      </c>
    </row>
    <row r="61" spans="12:12" x14ac:dyDescent="0.2">
      <c r="L61">
        <v>0.29720000000000002</v>
      </c>
    </row>
    <row r="62" spans="12:12" x14ac:dyDescent="0.2">
      <c r="L62">
        <v>0.3075</v>
      </c>
    </row>
    <row r="63" spans="12:12" x14ac:dyDescent="0.2">
      <c r="L63">
        <v>0.35120000000000001</v>
      </c>
    </row>
    <row r="64" spans="12:12" x14ac:dyDescent="0.2">
      <c r="L64">
        <v>0.31979999999999997</v>
      </c>
    </row>
    <row r="65" spans="12:12" x14ac:dyDescent="0.2">
      <c r="L65">
        <v>0.3342</v>
      </c>
    </row>
    <row r="66" spans="12:12" x14ac:dyDescent="0.2">
      <c r="L66">
        <v>0.37709999999999999</v>
      </c>
    </row>
    <row r="67" spans="12:12" x14ac:dyDescent="0.2">
      <c r="L67">
        <v>0.32029999999999997</v>
      </c>
    </row>
    <row r="68" spans="12:12" x14ac:dyDescent="0.2">
      <c r="L68">
        <v>0.3342</v>
      </c>
    </row>
    <row r="69" spans="12:12" x14ac:dyDescent="0.2">
      <c r="L69">
        <v>0.37869999999999998</v>
      </c>
    </row>
    <row r="70" spans="12:12" x14ac:dyDescent="0.2">
      <c r="L70">
        <v>0.32129999999999997</v>
      </c>
    </row>
    <row r="71" spans="12:12" x14ac:dyDescent="0.2">
      <c r="L71">
        <v>0.3412</v>
      </c>
    </row>
    <row r="72" spans="12:12" x14ac:dyDescent="0.2">
      <c r="L72">
        <v>0.38219999999999998</v>
      </c>
    </row>
    <row r="73" spans="12:12" x14ac:dyDescent="0.2">
      <c r="L73">
        <v>0.3216</v>
      </c>
    </row>
    <row r="74" spans="12:12" x14ac:dyDescent="0.2">
      <c r="L74">
        <v>0.3392</v>
      </c>
    </row>
    <row r="75" spans="12:12" x14ac:dyDescent="0.2">
      <c r="L75">
        <v>0.38369999999999999</v>
      </c>
    </row>
    <row r="76" spans="12:12" x14ac:dyDescent="0.2">
      <c r="L76">
        <v>0.28699999999999998</v>
      </c>
    </row>
    <row r="77" spans="12:12" x14ac:dyDescent="0.2">
      <c r="L77">
        <v>0.30320000000000003</v>
      </c>
    </row>
    <row r="78" spans="12:12" x14ac:dyDescent="0.2">
      <c r="L78">
        <v>0.33029999999999998</v>
      </c>
    </row>
    <row r="79" spans="12:12" x14ac:dyDescent="0.2">
      <c r="L79">
        <v>0.28689999999999999</v>
      </c>
    </row>
    <row r="80" spans="12:12" x14ac:dyDescent="0.2">
      <c r="L80">
        <v>0.29909999999999998</v>
      </c>
    </row>
    <row r="81" spans="12:12" x14ac:dyDescent="0.2">
      <c r="L81">
        <v>0.33200000000000002</v>
      </c>
    </row>
    <row r="82" spans="12:12" x14ac:dyDescent="0.2">
      <c r="L82">
        <v>0.29149999999999998</v>
      </c>
    </row>
    <row r="83" spans="12:12" x14ac:dyDescent="0.2">
      <c r="L83">
        <v>0.31730000000000003</v>
      </c>
    </row>
    <row r="84" spans="12:12" x14ac:dyDescent="0.2">
      <c r="L84">
        <v>0.34789999999999999</v>
      </c>
    </row>
    <row r="85" spans="12:12" x14ac:dyDescent="0.2">
      <c r="L85">
        <v>0.28699999999999998</v>
      </c>
    </row>
    <row r="86" spans="12:12" x14ac:dyDescent="0.2">
      <c r="L86">
        <v>0.30270000000000002</v>
      </c>
    </row>
    <row r="87" spans="12:12" x14ac:dyDescent="0.2">
      <c r="L87">
        <v>0.33379999999999999</v>
      </c>
    </row>
    <row r="88" spans="12:12" x14ac:dyDescent="0.2">
      <c r="L88">
        <v>0.28789999999999999</v>
      </c>
    </row>
    <row r="89" spans="12:12" x14ac:dyDescent="0.2">
      <c r="L89">
        <v>0.29720000000000002</v>
      </c>
    </row>
    <row r="90" spans="12:12" x14ac:dyDescent="0.2">
      <c r="L90">
        <v>0.33210000000000001</v>
      </c>
    </row>
    <row r="91" spans="12:12" x14ac:dyDescent="0.2">
      <c r="L91">
        <v>0.2868</v>
      </c>
    </row>
    <row r="92" spans="12:12" x14ac:dyDescent="0.2">
      <c r="L92">
        <v>0.29920000000000002</v>
      </c>
    </row>
    <row r="93" spans="12:12" x14ac:dyDescent="0.2">
      <c r="L93">
        <v>0.31469999999999998</v>
      </c>
    </row>
    <row r="94" spans="12:12" x14ac:dyDescent="0.2">
      <c r="L94">
        <v>0.2873</v>
      </c>
    </row>
    <row r="95" spans="12:12" x14ac:dyDescent="0.2">
      <c r="L95">
        <v>0.30730000000000002</v>
      </c>
    </row>
    <row r="96" spans="12:12" x14ac:dyDescent="0.2">
      <c r="L96">
        <v>0.32979999999999998</v>
      </c>
    </row>
    <row r="97" spans="12:12" x14ac:dyDescent="0.2">
      <c r="L97">
        <v>0.28739999999999999</v>
      </c>
    </row>
    <row r="98" spans="12:12" x14ac:dyDescent="0.2">
      <c r="L98">
        <v>0.29949999999999999</v>
      </c>
    </row>
    <row r="99" spans="12:12" x14ac:dyDescent="0.2">
      <c r="L99">
        <v>0.33169999999999999</v>
      </c>
    </row>
  </sheetData>
  <mergeCells count="14">
    <mergeCell ref="F25:F28"/>
    <mergeCell ref="F29:F32"/>
    <mergeCell ref="F33:F36"/>
    <mergeCell ref="E5:E8"/>
    <mergeCell ref="E9:E12"/>
    <mergeCell ref="E13:E24"/>
    <mergeCell ref="E25:E36"/>
    <mergeCell ref="F5:F6"/>
    <mergeCell ref="F7:F8"/>
    <mergeCell ref="F9:F10"/>
    <mergeCell ref="F11:F12"/>
    <mergeCell ref="F13:F16"/>
    <mergeCell ref="F17:F20"/>
    <mergeCell ref="F21:F2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</vt:lpstr>
      <vt:lpstr>TB</vt:lpstr>
      <vt:lpstr>CSBD</vt:lpstr>
      <vt:lpstr>CSB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tziyu</cp:lastModifiedBy>
  <dcterms:created xsi:type="dcterms:W3CDTF">2015-06-05T18:19:34Z</dcterms:created>
  <dcterms:modified xsi:type="dcterms:W3CDTF">2026-03-23T16:53:42Z</dcterms:modified>
</cp:coreProperties>
</file>